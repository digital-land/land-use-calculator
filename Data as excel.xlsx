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kershaw1/Documents/Planning_QGIS/land-use-calculator/"/>
    </mc:Choice>
  </mc:AlternateContent>
  <xr:revisionPtr revIDLastSave="0" documentId="13_ncr:1_{CDDC4CCC-0880-7047-8D93-E5FC84530604}" xr6:coauthVersionLast="47" xr6:coauthVersionMax="47" xr10:uidLastSave="{00000000-0000-0000-0000-000000000000}"/>
  <bookViews>
    <workbookView xWindow="0" yWindow="860" windowWidth="36000" windowHeight="22520" xr2:uid="{293DAB9F-2381-134A-8732-FC04ECA42DE4}"/>
  </bookViews>
  <sheets>
    <sheet name="Sheet1" sheetId="1" r:id="rId1"/>
  </sheets>
  <definedNames>
    <definedName name="_xlnm._FilterDatabase" localSheetId="0" hidden="1">Sheet1!$A$1:$AA$311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35" i="1"/>
  <c r="AA226" i="1"/>
  <c r="AA191" i="1"/>
  <c r="AA139" i="1"/>
  <c r="AA171" i="1"/>
  <c r="AA304" i="1"/>
  <c r="AA85" i="1"/>
  <c r="AA103" i="1"/>
  <c r="AA308" i="1"/>
  <c r="AA307" i="1"/>
  <c r="AA167" i="1"/>
  <c r="AA244" i="1"/>
  <c r="AA206" i="1"/>
  <c r="AA36" i="1"/>
  <c r="AA291" i="1"/>
  <c r="AA70" i="1"/>
  <c r="AA214" i="1"/>
  <c r="AA79" i="1"/>
  <c r="AA267" i="1"/>
  <c r="AA224" i="1"/>
  <c r="AA281" i="1"/>
  <c r="AA37" i="1"/>
  <c r="AA18" i="1"/>
  <c r="AA237" i="1"/>
  <c r="AA154" i="1"/>
  <c r="AA235" i="1"/>
  <c r="AA190" i="1"/>
  <c r="AA305" i="1"/>
  <c r="AA204" i="1"/>
  <c r="AA183" i="1"/>
  <c r="AA48" i="1"/>
  <c r="AA28" i="1"/>
  <c r="AA271" i="1"/>
  <c r="AA215" i="1"/>
  <c r="AA50" i="1"/>
  <c r="AA283" i="1"/>
  <c r="AA116" i="1"/>
  <c r="AA248" i="1"/>
  <c r="AA180" i="1"/>
  <c r="AA228" i="1"/>
  <c r="AA74" i="1"/>
  <c r="AA292" i="1"/>
  <c r="AA278" i="1"/>
  <c r="AA200" i="1"/>
  <c r="AA134" i="1"/>
  <c r="AA268" i="1"/>
  <c r="AA115" i="1"/>
  <c r="AA222" i="1"/>
  <c r="AA148" i="1"/>
  <c r="AA26" i="1"/>
  <c r="AA203" i="1"/>
  <c r="AA136" i="1"/>
  <c r="AA83" i="1"/>
  <c r="AA17" i="1"/>
  <c r="AA289" i="1"/>
  <c r="AA150" i="1"/>
  <c r="AA14" i="1"/>
  <c r="AA96" i="1"/>
  <c r="AA182" i="1"/>
  <c r="AA127" i="1"/>
  <c r="AA27" i="1"/>
  <c r="AA299" i="1"/>
  <c r="AA249" i="1"/>
  <c r="AA181" i="1"/>
  <c r="AA114" i="1"/>
  <c r="AA205" i="1"/>
  <c r="AA233" i="1"/>
  <c r="AA128" i="1"/>
  <c r="AA300" i="1"/>
  <c r="AA160" i="1"/>
  <c r="AA112" i="1"/>
  <c r="AA261" i="1"/>
  <c r="AA212" i="1"/>
  <c r="AA126" i="1"/>
  <c r="AA73" i="1"/>
  <c r="AA39" i="1"/>
  <c r="AA24" i="1"/>
  <c r="AA310" i="1"/>
  <c r="AA272" i="1"/>
  <c r="AA145" i="1"/>
  <c r="AA184" i="1"/>
  <c r="AA117" i="1"/>
  <c r="AA129" i="1"/>
  <c r="AA137" i="1"/>
  <c r="AA13" i="1"/>
  <c r="AA25" i="1"/>
  <c r="AA170" i="1"/>
  <c r="AA255" i="1"/>
  <c r="AA201" i="1"/>
  <c r="AA95" i="1"/>
  <c r="AA306" i="1"/>
  <c r="AA169" i="1"/>
  <c r="AA102" i="1"/>
  <c r="AA151" i="1"/>
  <c r="AA202" i="1"/>
  <c r="AA135" i="1"/>
  <c r="AA63" i="1"/>
  <c r="AA216" i="1"/>
  <c r="AA123" i="1"/>
  <c r="AA293" i="1"/>
  <c r="AA236" i="1"/>
  <c r="AA239" i="1"/>
  <c r="AA246" i="1"/>
  <c r="AA46" i="1"/>
  <c r="AA234" i="1"/>
  <c r="AA61" i="1"/>
  <c r="AA147" i="1"/>
  <c r="AA213" i="1"/>
  <c r="AA40" i="1"/>
  <c r="AA301" i="1"/>
  <c r="AA227" i="1"/>
  <c r="AA179" i="1"/>
  <c r="AA294" i="1"/>
  <c r="AA279" i="1"/>
  <c r="AA260" i="1"/>
  <c r="AA173" i="1"/>
  <c r="AA158" i="1"/>
  <c r="AA125" i="1"/>
  <c r="AA106" i="1"/>
  <c r="AA57" i="1"/>
  <c r="AA19" i="1"/>
  <c r="AA290" i="1"/>
  <c r="AA223" i="1"/>
  <c r="AA217" i="1"/>
  <c r="AA256" i="1"/>
  <c r="AA194" i="1"/>
  <c r="AA105" i="1"/>
  <c r="AA101" i="1"/>
  <c r="AA118" i="1"/>
  <c r="AA94" i="1"/>
  <c r="AA80" i="1"/>
  <c r="AA16" i="1"/>
  <c r="AA6" i="1"/>
  <c r="AA8" i="1"/>
  <c r="AA303" i="1"/>
  <c r="AA296" i="1"/>
  <c r="AA287" i="1"/>
  <c r="AA276" i="1"/>
  <c r="AA254" i="1"/>
  <c r="AA232" i="1"/>
  <c r="AA221" i="1"/>
  <c r="AA210" i="1"/>
  <c r="AA188" i="1"/>
  <c r="AA144" i="1"/>
  <c r="AA122" i="1"/>
  <c r="AA111" i="1"/>
  <c r="AA89" i="1"/>
  <c r="AA78" i="1"/>
  <c r="AA67" i="1"/>
  <c r="AA56" i="1"/>
  <c r="AA23" i="1"/>
  <c r="AA257" i="1"/>
  <c r="AA225" i="1"/>
  <c r="AA245" i="1"/>
  <c r="AA157" i="1"/>
  <c r="AA159" i="1"/>
  <c r="AA189" i="1"/>
  <c r="AA100" i="1"/>
  <c r="AA156" i="1"/>
  <c r="AA146" i="1"/>
  <c r="AA302" i="1"/>
  <c r="AA92" i="1"/>
  <c r="AA81" i="1"/>
  <c r="AA82" i="1"/>
  <c r="AA124" i="1"/>
  <c r="AA51" i="1"/>
  <c r="AA68" i="1"/>
  <c r="AA34" i="1"/>
  <c r="AA29" i="1"/>
  <c r="AA5" i="1"/>
  <c r="AA264" i="1"/>
  <c r="AA242" i="1"/>
  <c r="AA209" i="1"/>
  <c r="AA187" i="1"/>
  <c r="AA165" i="1"/>
  <c r="AA132" i="1"/>
  <c r="AA110" i="1"/>
  <c r="AA66" i="1"/>
  <c r="AA11" i="1"/>
  <c r="AA270" i="1"/>
  <c r="AA172" i="1"/>
  <c r="AA277" i="1"/>
  <c r="AA84" i="1"/>
  <c r="AA90" i="1"/>
  <c r="AA166" i="1"/>
  <c r="AA52" i="1"/>
  <c r="AA44" i="1"/>
  <c r="AA45" i="1"/>
  <c r="AA41" i="1"/>
  <c r="AA47" i="1"/>
  <c r="AA12" i="1"/>
  <c r="AA274" i="1"/>
  <c r="AA252" i="1"/>
  <c r="AA241" i="1"/>
  <c r="AA219" i="1"/>
  <c r="AA208" i="1"/>
  <c r="AA197" i="1"/>
  <c r="AA186" i="1"/>
  <c r="AA164" i="1"/>
  <c r="AA142" i="1"/>
  <c r="AA131" i="1"/>
  <c r="AA109" i="1"/>
  <c r="AA98" i="1"/>
  <c r="AA87" i="1"/>
  <c r="AA54" i="1"/>
  <c r="AA32" i="1"/>
  <c r="AA10" i="1"/>
  <c r="AA298" i="1"/>
  <c r="AA250" i="1"/>
  <c r="AA192" i="1"/>
  <c r="AA280" i="1"/>
  <c r="AA193" i="1"/>
  <c r="AA259" i="1"/>
  <c r="AA266" i="1"/>
  <c r="AA177" i="1"/>
  <c r="AA195" i="1"/>
  <c r="AA138" i="1"/>
  <c r="AA199" i="1"/>
  <c r="AA162" i="1"/>
  <c r="AA297" i="1"/>
  <c r="AA107" i="1"/>
  <c r="AA69" i="1"/>
  <c r="AA161" i="1"/>
  <c r="AA93" i="1"/>
  <c r="AA71" i="1"/>
  <c r="AA58" i="1"/>
  <c r="AA38" i="1"/>
  <c r="AA285" i="1"/>
  <c r="AA43" i="1"/>
  <c r="AA65" i="1"/>
  <c r="AA7" i="1"/>
  <c r="AA4" i="1"/>
  <c r="AA286" i="1"/>
  <c r="AA231" i="1"/>
  <c r="AA198" i="1"/>
  <c r="AA143" i="1"/>
  <c r="AA121" i="1"/>
  <c r="AA99" i="1"/>
  <c r="AA77" i="1"/>
  <c r="AA55" i="1"/>
  <c r="AA258" i="1"/>
  <c r="AA220" i="1"/>
  <c r="AA263" i="1"/>
  <c r="AA238" i="1"/>
  <c r="AA168" i="1"/>
  <c r="AA91" i="1"/>
  <c r="AA88" i="1"/>
  <c r="AA21" i="1"/>
  <c r="AA230" i="1"/>
  <c r="AA175" i="1"/>
  <c r="AA153" i="1"/>
  <c r="AA120" i="1"/>
  <c r="AA76" i="1"/>
  <c r="AA309" i="1"/>
  <c r="AA295" i="1"/>
  <c r="AA284" i="1"/>
  <c r="AA273" i="1"/>
  <c r="AA262" i="1"/>
  <c r="AA251" i="1"/>
  <c r="AA240" i="1"/>
  <c r="AA229" i="1"/>
  <c r="AA207" i="1"/>
  <c r="AA196" i="1"/>
  <c r="AA185" i="1"/>
  <c r="AA174" i="1"/>
  <c r="AA163" i="1"/>
  <c r="AA152" i="1"/>
  <c r="AA141" i="1"/>
  <c r="AA130" i="1"/>
  <c r="AA119" i="1"/>
  <c r="AA108" i="1"/>
  <c r="AA97" i="1"/>
  <c r="AA86" i="1"/>
  <c r="AA75" i="1"/>
  <c r="AA64" i="1"/>
  <c r="AA53" i="1"/>
  <c r="AA42" i="1"/>
  <c r="AA31" i="1"/>
  <c r="AA20" i="1"/>
  <c r="AA9" i="1"/>
  <c r="AA311" i="1"/>
  <c r="AA269" i="1"/>
  <c r="AA243" i="1"/>
  <c r="AA275" i="1"/>
  <c r="AA253" i="1"/>
  <c r="AA218" i="1"/>
  <c r="AA265" i="1"/>
  <c r="AA247" i="1"/>
  <c r="AA149" i="1"/>
  <c r="AA176" i="1"/>
  <c r="AA140" i="1"/>
  <c r="AA211" i="1"/>
  <c r="AA133" i="1"/>
  <c r="AA282" i="1"/>
  <c r="AA113" i="1"/>
  <c r="AA72" i="1"/>
  <c r="AA178" i="1"/>
  <c r="AA62" i="1"/>
  <c r="AA155" i="1"/>
  <c r="AA288" i="1"/>
  <c r="AA49" i="1"/>
  <c r="AA33" i="1"/>
  <c r="AA59" i="1"/>
  <c r="AA104" i="1"/>
  <c r="AA60" i="1"/>
  <c r="AA30" i="1"/>
  <c r="AA22" i="1"/>
  <c r="AA15" i="1"/>
</calcChain>
</file>

<file path=xl/sharedStrings.xml><?xml version="1.0" encoding="utf-8"?>
<sst xmlns="http://schemas.openxmlformats.org/spreadsheetml/2006/main" count="337" uniqueCount="337">
  <si>
    <t>Unrestricted</t>
  </si>
  <si>
    <t>Multiple restrictions</t>
  </si>
  <si>
    <t>County Durham LPA</t>
  </si>
  <si>
    <t>Darlington LPA</t>
  </si>
  <si>
    <t>Hartlepool LPA</t>
  </si>
  <si>
    <t>Middlesbrough LPA</t>
  </si>
  <si>
    <t>Northumberland LPA</t>
  </si>
  <si>
    <t>Redcar and Cleveland LPA</t>
  </si>
  <si>
    <t>Stockton-on-Tees LPA</t>
  </si>
  <si>
    <t>Gateshead LPA</t>
  </si>
  <si>
    <t>Newcastle upon Tyne LPA</t>
  </si>
  <si>
    <t>North Tyneside LPA</t>
  </si>
  <si>
    <t>South Tyneside LPA</t>
  </si>
  <si>
    <t>Sunderland LPA</t>
  </si>
  <si>
    <t>Blackburn with Darwen LPA</t>
  </si>
  <si>
    <t>Blackpool LPA</t>
  </si>
  <si>
    <t>Cheshire East LPA</t>
  </si>
  <si>
    <t>Cheshire West and Chester LPA</t>
  </si>
  <si>
    <t>Halton LPA</t>
  </si>
  <si>
    <t>Warrington LPA</t>
  </si>
  <si>
    <t>Bolton LPA</t>
  </si>
  <si>
    <t>Bury LPA</t>
  </si>
  <si>
    <t>Manchester LPA</t>
  </si>
  <si>
    <t>Oldham LPA</t>
  </si>
  <si>
    <t>Rochdale LPA</t>
  </si>
  <si>
    <t>Salford LPA</t>
  </si>
  <si>
    <t>Stockport LPA</t>
  </si>
  <si>
    <t>Tameside LPA</t>
  </si>
  <si>
    <t>Trafford LPA</t>
  </si>
  <si>
    <t>Wigan LPA</t>
  </si>
  <si>
    <t>Burnley LPA</t>
  </si>
  <si>
    <t>Chorley LPA</t>
  </si>
  <si>
    <t>Fylde LPA</t>
  </si>
  <si>
    <t>Hyndburn LPA</t>
  </si>
  <si>
    <t>Lancaster LPA</t>
  </si>
  <si>
    <t>Pendle LPA</t>
  </si>
  <si>
    <t>Preston LPA</t>
  </si>
  <si>
    <t>Ribble Valley LPA</t>
  </si>
  <si>
    <t>Rossendale LPA</t>
  </si>
  <si>
    <t>South Ribble LPA</t>
  </si>
  <si>
    <t>West Lancashire LPA</t>
  </si>
  <si>
    <t>Wyre LPA</t>
  </si>
  <si>
    <t>Knowsley LPA</t>
  </si>
  <si>
    <t>Liverpool LPA</t>
  </si>
  <si>
    <t>Sefton LPA</t>
  </si>
  <si>
    <t>St. Helens LPA</t>
  </si>
  <si>
    <t>Wirral LPA</t>
  </si>
  <si>
    <t>East Riding of Yorkshire LPA</t>
  </si>
  <si>
    <t>Kingston upon Hull, City of LPA</t>
  </si>
  <si>
    <t>North East Lincolnshire LPA</t>
  </si>
  <si>
    <t>North Lincolnshire LPA</t>
  </si>
  <si>
    <t>York LPA</t>
  </si>
  <si>
    <t>Barnsley LPA</t>
  </si>
  <si>
    <t>Doncaster LPA</t>
  </si>
  <si>
    <t>Rotherham LPA</t>
  </si>
  <si>
    <t>Sheffield LPA</t>
  </si>
  <si>
    <t>Bradford LPA</t>
  </si>
  <si>
    <t>Calderdale LPA</t>
  </si>
  <si>
    <t>Kirklees LPA</t>
  </si>
  <si>
    <t>Leeds LPA</t>
  </si>
  <si>
    <t>Wakefield LPA</t>
  </si>
  <si>
    <t>Derby LPA</t>
  </si>
  <si>
    <t>Leicester LPA</t>
  </si>
  <si>
    <t>Nottingham LPA</t>
  </si>
  <si>
    <t>Rutland LPA</t>
  </si>
  <si>
    <t>Amber Valley LPA</t>
  </si>
  <si>
    <t>Bolsover LPA</t>
  </si>
  <si>
    <t>Chesterfield LPA</t>
  </si>
  <si>
    <t>Derbyshire Dales LPA</t>
  </si>
  <si>
    <t>Erewash LPA</t>
  </si>
  <si>
    <t>High Peak LPA</t>
  </si>
  <si>
    <t>North East Derbyshire LPA</t>
  </si>
  <si>
    <t>South Derbyshire LPA</t>
  </si>
  <si>
    <t>Blaby LPA</t>
  </si>
  <si>
    <t>Charnwood LPA</t>
  </si>
  <si>
    <t>Harborough LPA</t>
  </si>
  <si>
    <t>Hinckley and Bosworth LPA</t>
  </si>
  <si>
    <t>Melton LPA</t>
  </si>
  <si>
    <t>North West Leicestershire LPA</t>
  </si>
  <si>
    <t>Oadby and Wigston LPA</t>
  </si>
  <si>
    <t>Boston LPA</t>
  </si>
  <si>
    <t>East Lindsey LPA</t>
  </si>
  <si>
    <t>Lincoln LPA</t>
  </si>
  <si>
    <t>North Kesteven LPA</t>
  </si>
  <si>
    <t>South Holland LPA</t>
  </si>
  <si>
    <t>South Kesteven LPA</t>
  </si>
  <si>
    <t>West Lindsey LPA</t>
  </si>
  <si>
    <t>Ashfield LPA</t>
  </si>
  <si>
    <t>Bassetlaw LPA</t>
  </si>
  <si>
    <t>Broxtowe LPA</t>
  </si>
  <si>
    <t>Gedling LPA</t>
  </si>
  <si>
    <t>Mansfield LPA</t>
  </si>
  <si>
    <t>Newark and Sherwood LPA</t>
  </si>
  <si>
    <t>Rushcliffe LPA</t>
  </si>
  <si>
    <t>Herefordshire, County of LPA</t>
  </si>
  <si>
    <t>Shropshire LPA</t>
  </si>
  <si>
    <t>Stoke-on-Trent LPA</t>
  </si>
  <si>
    <t>Telford and Wrekin LPA</t>
  </si>
  <si>
    <t>Cannock Chase LPA</t>
  </si>
  <si>
    <t>East Staffordshire LPA</t>
  </si>
  <si>
    <t>Lichfield LPA</t>
  </si>
  <si>
    <t>Newcastle-under-Lyme LPA</t>
  </si>
  <si>
    <t>South Staffordshire LPA</t>
  </si>
  <si>
    <t>Stafford LPA</t>
  </si>
  <si>
    <t>Staffordshire Moorlands LPA</t>
  </si>
  <si>
    <t>Tamworth LPA</t>
  </si>
  <si>
    <t>North Warwickshire LPA</t>
  </si>
  <si>
    <t>Nuneaton and Bedworth LPA</t>
  </si>
  <si>
    <t>Rugby LPA</t>
  </si>
  <si>
    <t>Stratford-on-Avon LPA</t>
  </si>
  <si>
    <t>Warwick LPA</t>
  </si>
  <si>
    <t>Birmingham LPA</t>
  </si>
  <si>
    <t>Coventry LPA</t>
  </si>
  <si>
    <t>Dudley LPA</t>
  </si>
  <si>
    <t>Sandwell LPA</t>
  </si>
  <si>
    <t>Solihull LPA</t>
  </si>
  <si>
    <t>Walsall LPA</t>
  </si>
  <si>
    <t>Wolverhampton LPA</t>
  </si>
  <si>
    <t>Bromsgrove LPA</t>
  </si>
  <si>
    <t>Malvern Hills LPA</t>
  </si>
  <si>
    <t>Redditch LPA</t>
  </si>
  <si>
    <t>Worcester LPA</t>
  </si>
  <si>
    <t>Wychavon LPA</t>
  </si>
  <si>
    <t>Wyre Forest LPA</t>
  </si>
  <si>
    <t>Bedford LPA</t>
  </si>
  <si>
    <t>Central Bedfordshire LPA</t>
  </si>
  <si>
    <t>Luton LPA</t>
  </si>
  <si>
    <t>Peterborough LPA</t>
  </si>
  <si>
    <t>Southend-on-Sea LPA</t>
  </si>
  <si>
    <t>Thurrock LPA</t>
  </si>
  <si>
    <t>Cambridge LPA</t>
  </si>
  <si>
    <t>East Cambridgeshire LPA</t>
  </si>
  <si>
    <t>Fenland LPA</t>
  </si>
  <si>
    <t>Huntingdonshire LPA</t>
  </si>
  <si>
    <t>South Cambridgeshire LPA</t>
  </si>
  <si>
    <t>Basildon LPA</t>
  </si>
  <si>
    <t>Braintree LPA</t>
  </si>
  <si>
    <t>Brentwood LPA</t>
  </si>
  <si>
    <t>Castle Point LPA</t>
  </si>
  <si>
    <t>Chelmsford LPA</t>
  </si>
  <si>
    <t>Colchester LPA</t>
  </si>
  <si>
    <t>Epping Forest LPA</t>
  </si>
  <si>
    <t>Harlow LPA</t>
  </si>
  <si>
    <t>Maldon LPA</t>
  </si>
  <si>
    <t>Rochford LPA</t>
  </si>
  <si>
    <t>Tendring LPA</t>
  </si>
  <si>
    <t>Uttlesford LPA</t>
  </si>
  <si>
    <t>Broxbourne LPA</t>
  </si>
  <si>
    <t>Dacorum LPA</t>
  </si>
  <si>
    <t>East Hertfordshire LPA</t>
  </si>
  <si>
    <t>Hertsmere LPA</t>
  </si>
  <si>
    <t>North Hertfordshire LPA</t>
  </si>
  <si>
    <t>St Albans LPA</t>
  </si>
  <si>
    <t>Stevenage LPA</t>
  </si>
  <si>
    <t>Three Rivers LPA</t>
  </si>
  <si>
    <t>Watford LPA</t>
  </si>
  <si>
    <t>Welwyn Hatfield LPA</t>
  </si>
  <si>
    <t>Breckland LPA</t>
  </si>
  <si>
    <t>Broadland LPA</t>
  </si>
  <si>
    <t>Great Yarmouth LPA</t>
  </si>
  <si>
    <t>King’s Lynn and West Norfolk LPA</t>
  </si>
  <si>
    <t>North Norfolk LPA</t>
  </si>
  <si>
    <t>Norwich LPA</t>
  </si>
  <si>
    <t>South Norfolk LPA</t>
  </si>
  <si>
    <t>Babergh LPA</t>
  </si>
  <si>
    <t>East Suffolk LPA</t>
  </si>
  <si>
    <t>Ipswich LPA</t>
  </si>
  <si>
    <t>Mid Suffolk LPA</t>
  </si>
  <si>
    <t>West Suffolk LPA</t>
  </si>
  <si>
    <t>Camden LPA</t>
  </si>
  <si>
    <t>City of London LPA</t>
  </si>
  <si>
    <t>Hackney LPA</t>
  </si>
  <si>
    <t>Hammersmith and Fulham LPA</t>
  </si>
  <si>
    <t>Haringey LPA</t>
  </si>
  <si>
    <t>Islington LPA</t>
  </si>
  <si>
    <t>Kensington and Chelsea LPA</t>
  </si>
  <si>
    <t>Lambeth LPA</t>
  </si>
  <si>
    <t>Lewisham LPA</t>
  </si>
  <si>
    <t>Newham LPA</t>
  </si>
  <si>
    <t>Southwark LPA</t>
  </si>
  <si>
    <t>Tower Hamlets LPA</t>
  </si>
  <si>
    <t>Wandsworth LPA</t>
  </si>
  <si>
    <t>Westminster LPA</t>
  </si>
  <si>
    <t>Barking and Dagenham LPA</t>
  </si>
  <si>
    <t>Barnet LPA</t>
  </si>
  <si>
    <t>Bexley LPA</t>
  </si>
  <si>
    <t>Brent LPA</t>
  </si>
  <si>
    <t>Bromley LPA</t>
  </si>
  <si>
    <t>Croydon LPA</t>
  </si>
  <si>
    <t>Ealing LPA</t>
  </si>
  <si>
    <t>Enfield LPA</t>
  </si>
  <si>
    <t>Greenwich LPA</t>
  </si>
  <si>
    <t>Harrow LPA</t>
  </si>
  <si>
    <t>Havering LPA</t>
  </si>
  <si>
    <t>Hillingdon LPA</t>
  </si>
  <si>
    <t>Hounslow LPA</t>
  </si>
  <si>
    <t>Kingston upon Thames LPA</t>
  </si>
  <si>
    <t>Merton LPA</t>
  </si>
  <si>
    <t>Redbridge LPA</t>
  </si>
  <si>
    <t>Richmond upon Thames LPA</t>
  </si>
  <si>
    <t>Sutton LPA</t>
  </si>
  <si>
    <t>Waltham Forest LPA</t>
  </si>
  <si>
    <t>Bracknell Forest LPA</t>
  </si>
  <si>
    <t>Brighton and Hove LPA</t>
  </si>
  <si>
    <t>Isle of Wight LPA</t>
  </si>
  <si>
    <t>Medway LPA</t>
  </si>
  <si>
    <t>Milton Keynes LPA</t>
  </si>
  <si>
    <t>Portsmouth LPA</t>
  </si>
  <si>
    <t>Reading LPA</t>
  </si>
  <si>
    <t>Slough LPA</t>
  </si>
  <si>
    <t>Southampton LPA</t>
  </si>
  <si>
    <t>West Berkshire LPA</t>
  </si>
  <si>
    <t>Windsor and Maidenhead LPA</t>
  </si>
  <si>
    <t>Wokingham LPA</t>
  </si>
  <si>
    <t>Eastbourne LPA</t>
  </si>
  <si>
    <t>Hastings LPA</t>
  </si>
  <si>
    <t>Lewes LPA</t>
  </si>
  <si>
    <t>Rother LPA</t>
  </si>
  <si>
    <t>Wealden LPA</t>
  </si>
  <si>
    <t>Basingstoke and Deane LPA</t>
  </si>
  <si>
    <t>East Hampshire LPA</t>
  </si>
  <si>
    <t>Eastleigh LPA</t>
  </si>
  <si>
    <t>Fareham LPA</t>
  </si>
  <si>
    <t>Gosport LPA</t>
  </si>
  <si>
    <t>Hart LPA</t>
  </si>
  <si>
    <t>Havant LPA</t>
  </si>
  <si>
    <t>New Forest LPA</t>
  </si>
  <si>
    <t>Rushmoor LPA</t>
  </si>
  <si>
    <t>Test Valley LPA</t>
  </si>
  <si>
    <t>Winchester LPA</t>
  </si>
  <si>
    <t>Ashford LPA</t>
  </si>
  <si>
    <t>Canterbury LPA</t>
  </si>
  <si>
    <t>Dartford LPA</t>
  </si>
  <si>
    <t>Dover LPA</t>
  </si>
  <si>
    <t>Folkestone and Hythe LPA</t>
  </si>
  <si>
    <t>Gravesham LPA</t>
  </si>
  <si>
    <t>Maidstone LPA</t>
  </si>
  <si>
    <t>Sevenoaks LPA</t>
  </si>
  <si>
    <t>Swale LPA</t>
  </si>
  <si>
    <t>Thanet LPA</t>
  </si>
  <si>
    <t>Tonbridge and Malling LPA</t>
  </si>
  <si>
    <t>Tunbridge Wells LPA</t>
  </si>
  <si>
    <t>Cherwell LPA</t>
  </si>
  <si>
    <t>Oxford LPA</t>
  </si>
  <si>
    <t>South Oxfordshire LPA</t>
  </si>
  <si>
    <t>Vale of White Horse LPA</t>
  </si>
  <si>
    <t>West Oxfordshire LPA</t>
  </si>
  <si>
    <t>Elmbridge LPA</t>
  </si>
  <si>
    <t>Epsom and Ewell LPA</t>
  </si>
  <si>
    <t>Guildford LPA</t>
  </si>
  <si>
    <t>Mole Valley LPA</t>
  </si>
  <si>
    <t>Reigate and Banstead LPA</t>
  </si>
  <si>
    <t>Runnymede LPA</t>
  </si>
  <si>
    <t>Spelthorne LPA</t>
  </si>
  <si>
    <t>Surrey Heath LPA</t>
  </si>
  <si>
    <t>Tandridge LPA</t>
  </si>
  <si>
    <t>Waverley LPA</t>
  </si>
  <si>
    <t>Woking LPA</t>
  </si>
  <si>
    <t>Adur LPA</t>
  </si>
  <si>
    <t>Arun LPA</t>
  </si>
  <si>
    <t>Chichester LPA</t>
  </si>
  <si>
    <t>Crawley LPA</t>
  </si>
  <si>
    <t>Horsham LPA</t>
  </si>
  <si>
    <t>Mid Sussex LPA</t>
  </si>
  <si>
    <t>Worthing LPA</t>
  </si>
  <si>
    <t>Bath and North East Somerset LPA</t>
  </si>
  <si>
    <t>Bournemouth, Christchurch and Poole LPA</t>
  </si>
  <si>
    <t>Bristol, City of LPA</t>
  </si>
  <si>
    <t>Cornwall LPA</t>
  </si>
  <si>
    <t>Dorset LPA</t>
  </si>
  <si>
    <t>Isles of Scilly LPA</t>
  </si>
  <si>
    <t>North Somerset LPA</t>
  </si>
  <si>
    <t>Plymouth LPA</t>
  </si>
  <si>
    <t>South Gloucestershire LPA</t>
  </si>
  <si>
    <t>Swindon LPA</t>
  </si>
  <si>
    <t>Torbay LPA</t>
  </si>
  <si>
    <t>Wiltshire LPA</t>
  </si>
  <si>
    <t>East Devon LPA</t>
  </si>
  <si>
    <t>Exeter LPA</t>
  </si>
  <si>
    <t>Mid Devon LPA</t>
  </si>
  <si>
    <t>North Devon LPA</t>
  </si>
  <si>
    <t>South Hams LPA</t>
  </si>
  <si>
    <t>Teignbridge LPA</t>
  </si>
  <si>
    <t>Torridge LPA</t>
  </si>
  <si>
    <t>West Devon LPA</t>
  </si>
  <si>
    <t>Cheltenham LPA</t>
  </si>
  <si>
    <t>Cotswold LPA</t>
  </si>
  <si>
    <t>Forest of Dean LPA</t>
  </si>
  <si>
    <t>Gloucester LPA</t>
  </si>
  <si>
    <t>Stroud LPA</t>
  </si>
  <si>
    <t>Tewkesbury LPA</t>
  </si>
  <si>
    <t>Dartmoor National Park LPA</t>
  </si>
  <si>
    <t>Exmoor National Park LPA</t>
  </si>
  <si>
    <t>Lake District National Park LPA</t>
  </si>
  <si>
    <t>New Forest National Park LPA</t>
  </si>
  <si>
    <t>North York Moors National Park LPA</t>
  </si>
  <si>
    <t>Northumberland National Park LPA</t>
  </si>
  <si>
    <t>Peak District National Park LPA</t>
  </si>
  <si>
    <t>South Downs National Park LPA</t>
  </si>
  <si>
    <t>The Broads Authority LPA</t>
  </si>
  <si>
    <t>Yorkshire Dales National Park LPA</t>
  </si>
  <si>
    <t>Ebbsfleet Development Corporation LPA</t>
  </si>
  <si>
    <t>London Legacy Development Corporation LPA</t>
  </si>
  <si>
    <t>Old Oak and Park Royal Development Corporation LPA</t>
  </si>
  <si>
    <t>Buckinghamshire LPA</t>
  </si>
  <si>
    <t>North Northamptonshire LPA</t>
  </si>
  <si>
    <t>West Northamptonshire LPA</t>
  </si>
  <si>
    <t>Cumberland LPA</t>
  </si>
  <si>
    <t>Westmorland and Furness LPA</t>
  </si>
  <si>
    <t>North Yorkshire LPA</t>
  </si>
  <si>
    <t>Somerset LPA</t>
  </si>
  <si>
    <t>LPA</t>
  </si>
  <si>
    <t>England</t>
  </si>
  <si>
    <t>Only AONB</t>
  </si>
  <si>
    <t>Only Agricultural land grade 1</t>
  </si>
  <si>
    <t>Only Agricultural land grade 2</t>
  </si>
  <si>
    <t>Only Ancient woodland</t>
  </si>
  <si>
    <t>Only BUA</t>
  </si>
  <si>
    <t>Only Battlefield</t>
  </si>
  <si>
    <t>Only Brownfield sites</t>
  </si>
  <si>
    <t>Only FloodZone2</t>
  </si>
  <si>
    <t>Only FloodZone3</t>
  </si>
  <si>
    <t>Only Flood storage area</t>
  </si>
  <si>
    <t>Only Greenbelt</t>
  </si>
  <si>
    <t>Only Heritage at risk</t>
  </si>
  <si>
    <t>Only Historic parks and gardens</t>
  </si>
  <si>
    <t>Only Local nature reserve</t>
  </si>
  <si>
    <t>Only National nature reserve</t>
  </si>
  <si>
    <t>Only National parks</t>
  </si>
  <si>
    <t>Only Nature improvement area</t>
  </si>
  <si>
    <t>Only Overhead cables</t>
  </si>
  <si>
    <t>Only Ramsar site</t>
  </si>
  <si>
    <t>Only SSSIs</t>
  </si>
  <si>
    <t>Only Special area of conservation</t>
  </si>
  <si>
    <t>Only Special protection area</t>
  </si>
  <si>
    <t>Only World heritage sites</t>
  </si>
  <si>
    <t>LPA 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</si>
</sst>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8" fontId="5" fillId="0" borderId="0" xfId="1" applyNumberFormat="1" applyFont="1"/>
    <xf numFmtId="168" fontId="4" fillId="0" borderId="0" xfId="1" applyNumberFormat="1" applyFont="1"/>
    <xf numFmtId="168" fontId="6" fillId="0" borderId="0" xfId="1" applyNumberFormat="1" applyFont="1" applyAlignment="1">
      <alignment horizontal="center" vertical="top" wrapText="1"/>
    </xf>
    <xf numFmtId="168" fontId="7" fillId="0" borderId="0" xfId="1" applyNumberFormat="1" applyFont="1" applyAlignment="1">
      <alignment horizontal="center" vertical="top" wrapText="1"/>
    </xf>
    <xf numFmtId="168" fontId="3" fillId="0" borderId="0" xfId="1" applyNumberFormat="1" applyFont="1"/>
    <xf numFmtId="168" fontId="2" fillId="0" borderId="0" xfId="1" applyNumberFormat="1" applyFont="1"/>
    <xf numFmtId="168" fontId="5" fillId="0" borderId="0" xfId="1" applyNumberFormat="1" applyFont="1" applyAlignment="1">
      <alignment horizontal="center" vertical="top" wrapText="1"/>
    </xf>
    <xf numFmtId="168" fontId="8" fillId="0" borderId="0" xfId="1" applyNumberFormat="1" applyFont="1"/>
    <xf numFmtId="168" fontId="9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2BC9-4099-FE40-BEEE-7C98AB1C933C}">
  <dimension ref="A1:AA311"/>
  <sheetViews>
    <sheetView tabSelected="1" workbookViewId="0">
      <pane ySplit="1" topLeftCell="A2" activePane="bottomLeft" state="frozen"/>
      <selection pane="bottomLeft"/>
    </sheetView>
  </sheetViews>
  <sheetFormatPr baseColWidth="10" defaultColWidth="45.33203125" defaultRowHeight="19" x14ac:dyDescent="0.25"/>
  <cols>
    <col min="1" max="1" width="45.33203125" style="6"/>
    <col min="2" max="26" width="12.6640625" style="6" customWidth="1"/>
    <col min="27" max="27" width="12.6640625" style="8" customWidth="1"/>
    <col min="28" max="16384" width="45.33203125" style="6"/>
  </cols>
  <sheetData>
    <row r="1" spans="1:27" s="3" customFormat="1" ht="65" customHeight="1" x14ac:dyDescent="0.2">
      <c r="A1" s="3" t="s">
        <v>311</v>
      </c>
      <c r="B1" s="4" t="s">
        <v>0</v>
      </c>
      <c r="C1" s="4" t="s">
        <v>1</v>
      </c>
      <c r="D1" s="4" t="s">
        <v>313</v>
      </c>
      <c r="E1" s="4" t="s">
        <v>314</v>
      </c>
      <c r="F1" s="4" t="s">
        <v>315</v>
      </c>
      <c r="G1" s="4" t="s">
        <v>316</v>
      </c>
      <c r="H1" s="4" t="s">
        <v>317</v>
      </c>
      <c r="I1" s="4" t="s">
        <v>318</v>
      </c>
      <c r="J1" s="4" t="s">
        <v>319</v>
      </c>
      <c r="K1" s="4" t="s">
        <v>320</v>
      </c>
      <c r="L1" s="4" t="s">
        <v>321</v>
      </c>
      <c r="M1" s="4" t="s">
        <v>322</v>
      </c>
      <c r="N1" s="4" t="s">
        <v>323</v>
      </c>
      <c r="O1" s="4" t="s">
        <v>324</v>
      </c>
      <c r="P1" s="4" t="s">
        <v>325</v>
      </c>
      <c r="Q1" s="4" t="s">
        <v>326</v>
      </c>
      <c r="R1" s="4" t="s">
        <v>327</v>
      </c>
      <c r="S1" s="4" t="s">
        <v>328</v>
      </c>
      <c r="T1" s="4" t="s">
        <v>329</v>
      </c>
      <c r="U1" s="4" t="s">
        <v>330</v>
      </c>
      <c r="V1" s="4" t="s">
        <v>331</v>
      </c>
      <c r="W1" s="4" t="s">
        <v>332</v>
      </c>
      <c r="X1" s="4" t="s">
        <v>333</v>
      </c>
      <c r="Y1" s="4" t="s">
        <v>334</v>
      </c>
      <c r="Z1" s="4" t="s">
        <v>335</v>
      </c>
      <c r="AA1" s="7" t="s">
        <v>336</v>
      </c>
    </row>
    <row r="2" spans="1:27" x14ac:dyDescent="0.25">
      <c r="A2" s="1" t="s">
        <v>312</v>
      </c>
      <c r="B2" s="2">
        <v>4269658</v>
      </c>
      <c r="C2" s="2">
        <v>3061808</v>
      </c>
      <c r="D2" s="2">
        <v>1105793</v>
      </c>
      <c r="E2" s="2">
        <v>93249</v>
      </c>
      <c r="F2" s="2">
        <v>1067099</v>
      </c>
      <c r="G2" s="2">
        <v>109252</v>
      </c>
      <c r="H2" s="2">
        <v>1016022</v>
      </c>
      <c r="I2" s="2">
        <v>5813</v>
      </c>
      <c r="J2" s="2">
        <v>361</v>
      </c>
      <c r="K2" s="2">
        <v>83053</v>
      </c>
      <c r="L2" s="2">
        <v>430771</v>
      </c>
      <c r="M2" s="2">
        <v>580</v>
      </c>
      <c r="N2" s="2">
        <v>904918</v>
      </c>
      <c r="O2" s="2">
        <v>3417</v>
      </c>
      <c r="P2" s="2">
        <v>51851</v>
      </c>
      <c r="Q2" s="2">
        <v>7259</v>
      </c>
      <c r="R2" s="2">
        <v>458</v>
      </c>
      <c r="S2" s="2">
        <v>617561</v>
      </c>
      <c r="T2" s="2">
        <v>138456</v>
      </c>
      <c r="U2" s="2">
        <v>8735</v>
      </c>
      <c r="V2" s="2">
        <v>0</v>
      </c>
      <c r="W2" s="2">
        <v>37500</v>
      </c>
      <c r="X2" s="2">
        <v>26</v>
      </c>
      <c r="Y2" s="2">
        <v>38</v>
      </c>
      <c r="Z2" s="2">
        <v>29255</v>
      </c>
      <c r="AA2" s="9">
        <v>13042933</v>
      </c>
    </row>
    <row r="3" spans="1:27" x14ac:dyDescent="0.25">
      <c r="A3" s="5" t="s">
        <v>309</v>
      </c>
      <c r="B3" s="5">
        <v>229903</v>
      </c>
      <c r="C3" s="5">
        <v>80387</v>
      </c>
      <c r="D3" s="5">
        <v>58380</v>
      </c>
      <c r="E3" s="5">
        <v>1181</v>
      </c>
      <c r="F3" s="5">
        <v>67324</v>
      </c>
      <c r="G3" s="5">
        <v>2374</v>
      </c>
      <c r="H3" s="5">
        <v>13619</v>
      </c>
      <c r="I3" s="5">
        <v>240</v>
      </c>
      <c r="J3" s="5">
        <v>0</v>
      </c>
      <c r="K3" s="5">
        <v>8949</v>
      </c>
      <c r="L3" s="5">
        <v>30969</v>
      </c>
      <c r="M3" s="5">
        <v>65</v>
      </c>
      <c r="N3" s="5">
        <v>14409</v>
      </c>
      <c r="O3" s="5">
        <v>216</v>
      </c>
      <c r="P3" s="5">
        <v>1380</v>
      </c>
      <c r="Q3" s="5">
        <v>68</v>
      </c>
      <c r="R3" s="5">
        <v>6</v>
      </c>
      <c r="S3" s="5">
        <v>2</v>
      </c>
      <c r="T3" s="5">
        <v>0</v>
      </c>
      <c r="U3" s="5">
        <v>470</v>
      </c>
      <c r="V3" s="5">
        <v>0</v>
      </c>
      <c r="W3" s="5">
        <v>996</v>
      </c>
      <c r="X3" s="5">
        <v>0</v>
      </c>
      <c r="Y3" s="5">
        <v>35</v>
      </c>
      <c r="Z3" s="5">
        <v>9</v>
      </c>
      <c r="AA3" s="8">
        <f>SUM(B3:Z3)</f>
        <v>510982</v>
      </c>
    </row>
    <row r="4" spans="1:27" x14ac:dyDescent="0.25">
      <c r="A4" s="5" t="s">
        <v>6</v>
      </c>
      <c r="B4" s="5">
        <v>210659</v>
      </c>
      <c r="C4" s="5">
        <v>53207</v>
      </c>
      <c r="D4" s="5">
        <v>27443</v>
      </c>
      <c r="E4" s="5">
        <v>0</v>
      </c>
      <c r="F4" s="5">
        <v>9023</v>
      </c>
      <c r="G4" s="5">
        <v>1623</v>
      </c>
      <c r="H4" s="5">
        <v>8218</v>
      </c>
      <c r="I4" s="5">
        <v>895</v>
      </c>
      <c r="J4" s="5">
        <v>0</v>
      </c>
      <c r="K4" s="5">
        <v>1844</v>
      </c>
      <c r="L4" s="5">
        <v>9188</v>
      </c>
      <c r="M4" s="5">
        <v>0</v>
      </c>
      <c r="N4" s="5">
        <v>58629</v>
      </c>
      <c r="O4" s="5">
        <v>168</v>
      </c>
      <c r="P4" s="5">
        <v>2651</v>
      </c>
      <c r="Q4" s="5">
        <v>256</v>
      </c>
      <c r="R4" s="5">
        <v>72</v>
      </c>
      <c r="S4" s="5">
        <v>1</v>
      </c>
      <c r="T4" s="5">
        <v>0</v>
      </c>
      <c r="U4" s="5">
        <v>366</v>
      </c>
      <c r="V4" s="5">
        <v>0</v>
      </c>
      <c r="W4" s="5">
        <v>6995</v>
      </c>
      <c r="X4" s="5">
        <v>3</v>
      </c>
      <c r="Y4" s="5">
        <v>0</v>
      </c>
      <c r="Z4" s="5">
        <v>6810</v>
      </c>
      <c r="AA4" s="8">
        <f>SUM(B4:Z4)</f>
        <v>398051</v>
      </c>
    </row>
    <row r="5" spans="1:27" x14ac:dyDescent="0.25">
      <c r="A5" s="5" t="s">
        <v>268</v>
      </c>
      <c r="B5" s="5">
        <v>191710</v>
      </c>
      <c r="C5" s="5">
        <v>42127</v>
      </c>
      <c r="D5" s="5">
        <v>65690</v>
      </c>
      <c r="E5" s="5">
        <v>286</v>
      </c>
      <c r="F5" s="5">
        <v>17703</v>
      </c>
      <c r="G5" s="5">
        <v>4298</v>
      </c>
      <c r="H5" s="5">
        <v>12547</v>
      </c>
      <c r="I5" s="5">
        <v>446</v>
      </c>
      <c r="J5" s="5">
        <v>65</v>
      </c>
      <c r="K5" s="5">
        <v>1153</v>
      </c>
      <c r="L5" s="5">
        <v>5076</v>
      </c>
      <c r="M5" s="5">
        <v>7</v>
      </c>
      <c r="N5" s="5">
        <v>0</v>
      </c>
      <c r="O5" s="5">
        <v>72</v>
      </c>
      <c r="P5" s="5">
        <v>1041</v>
      </c>
      <c r="Q5" s="5">
        <v>104</v>
      </c>
      <c r="R5" s="5">
        <v>0</v>
      </c>
      <c r="S5" s="5">
        <v>0</v>
      </c>
      <c r="T5" s="5">
        <v>41</v>
      </c>
      <c r="U5" s="5">
        <v>331</v>
      </c>
      <c r="V5" s="5">
        <v>0</v>
      </c>
      <c r="W5" s="5">
        <v>2340</v>
      </c>
      <c r="X5" s="5">
        <v>6</v>
      </c>
      <c r="Y5" s="5">
        <v>0</v>
      </c>
      <c r="Z5" s="5">
        <v>9559</v>
      </c>
      <c r="AA5" s="8">
        <f>SUM(B5:Z5)</f>
        <v>354602</v>
      </c>
    </row>
    <row r="6" spans="1:27" x14ac:dyDescent="0.25">
      <c r="A6" s="5" t="s">
        <v>310</v>
      </c>
      <c r="B6" s="5">
        <v>152716</v>
      </c>
      <c r="C6" s="5">
        <v>33887</v>
      </c>
      <c r="D6" s="5">
        <v>26759</v>
      </c>
      <c r="E6" s="5">
        <v>7670</v>
      </c>
      <c r="F6" s="5">
        <v>20071</v>
      </c>
      <c r="G6" s="5">
        <v>2777</v>
      </c>
      <c r="H6" s="5">
        <v>12744</v>
      </c>
      <c r="I6" s="5">
        <v>50</v>
      </c>
      <c r="J6" s="5">
        <v>0</v>
      </c>
      <c r="K6" s="5">
        <v>4517</v>
      </c>
      <c r="L6" s="5">
        <v>31129</v>
      </c>
      <c r="M6" s="5">
        <v>132</v>
      </c>
      <c r="N6" s="5">
        <v>725</v>
      </c>
      <c r="O6" s="5">
        <v>112</v>
      </c>
      <c r="P6" s="5">
        <v>1728</v>
      </c>
      <c r="Q6" s="5">
        <v>75</v>
      </c>
      <c r="R6" s="5">
        <v>66</v>
      </c>
      <c r="S6" s="5">
        <v>0</v>
      </c>
      <c r="T6" s="5">
        <v>0</v>
      </c>
      <c r="U6" s="5">
        <v>279</v>
      </c>
      <c r="V6" s="5">
        <v>0</v>
      </c>
      <c r="W6" s="5">
        <v>713</v>
      </c>
      <c r="X6" s="5">
        <v>0</v>
      </c>
      <c r="Y6" s="5">
        <v>0</v>
      </c>
      <c r="Z6" s="5">
        <v>0</v>
      </c>
      <c r="AA6" s="8">
        <f>SUM(B6:Z6)</f>
        <v>296150</v>
      </c>
    </row>
    <row r="7" spans="1:27" x14ac:dyDescent="0.25">
      <c r="A7" s="5" t="s">
        <v>307</v>
      </c>
      <c r="B7" s="5">
        <v>130378</v>
      </c>
      <c r="C7" s="5">
        <v>30463</v>
      </c>
      <c r="D7" s="5">
        <v>3766</v>
      </c>
      <c r="E7" s="5">
        <v>0</v>
      </c>
      <c r="F7" s="5">
        <v>1997</v>
      </c>
      <c r="G7" s="5">
        <v>1775</v>
      </c>
      <c r="H7" s="5">
        <v>6587</v>
      </c>
      <c r="I7" s="5">
        <v>189</v>
      </c>
      <c r="J7" s="5">
        <v>0</v>
      </c>
      <c r="K7" s="5">
        <v>2830</v>
      </c>
      <c r="L7" s="5">
        <v>8688</v>
      </c>
      <c r="M7" s="5">
        <v>3</v>
      </c>
      <c r="N7" s="5">
        <v>0</v>
      </c>
      <c r="O7" s="5">
        <v>70</v>
      </c>
      <c r="P7" s="5">
        <v>144</v>
      </c>
      <c r="Q7" s="5">
        <v>34</v>
      </c>
      <c r="R7" s="5">
        <v>5</v>
      </c>
      <c r="S7" s="5">
        <v>0</v>
      </c>
      <c r="T7" s="5">
        <v>0</v>
      </c>
      <c r="U7" s="5">
        <v>149</v>
      </c>
      <c r="V7" s="5">
        <v>0</v>
      </c>
      <c r="W7" s="5">
        <v>748</v>
      </c>
      <c r="X7" s="5">
        <v>0</v>
      </c>
      <c r="Y7" s="5">
        <v>1</v>
      </c>
      <c r="Z7" s="5">
        <v>9880</v>
      </c>
      <c r="AA7" s="8">
        <f>SUM(B7:Z7)</f>
        <v>197707</v>
      </c>
    </row>
    <row r="8" spans="1:27" x14ac:dyDescent="0.25">
      <c r="A8" s="5" t="s">
        <v>95</v>
      </c>
      <c r="B8" s="5">
        <v>130353</v>
      </c>
      <c r="C8" s="5">
        <v>40160</v>
      </c>
      <c r="D8" s="5">
        <v>64941</v>
      </c>
      <c r="E8" s="5">
        <v>0</v>
      </c>
      <c r="F8" s="5">
        <v>32987</v>
      </c>
      <c r="G8" s="5">
        <v>2802</v>
      </c>
      <c r="H8" s="5">
        <v>6609</v>
      </c>
      <c r="I8" s="5">
        <v>103</v>
      </c>
      <c r="J8" s="5">
        <v>0</v>
      </c>
      <c r="K8" s="5">
        <v>1876</v>
      </c>
      <c r="L8" s="5">
        <v>9084</v>
      </c>
      <c r="M8" s="5">
        <v>0</v>
      </c>
      <c r="N8" s="5">
        <v>10600</v>
      </c>
      <c r="O8" s="5">
        <v>46</v>
      </c>
      <c r="P8" s="5">
        <v>1457</v>
      </c>
      <c r="Q8" s="5">
        <v>126</v>
      </c>
      <c r="R8" s="5">
        <v>2</v>
      </c>
      <c r="S8" s="5">
        <v>0</v>
      </c>
      <c r="T8" s="5">
        <v>17817</v>
      </c>
      <c r="U8" s="5">
        <v>129</v>
      </c>
      <c r="V8" s="5">
        <v>0</v>
      </c>
      <c r="W8" s="5">
        <v>502</v>
      </c>
      <c r="X8" s="5">
        <v>0</v>
      </c>
      <c r="Y8" s="5">
        <v>0</v>
      </c>
      <c r="Z8" s="5">
        <v>74</v>
      </c>
      <c r="AA8" s="8">
        <f>SUM(B8:Z8)</f>
        <v>319668</v>
      </c>
    </row>
    <row r="9" spans="1:27" x14ac:dyDescent="0.25">
      <c r="A9" s="5" t="s">
        <v>276</v>
      </c>
      <c r="B9" s="5">
        <v>104608</v>
      </c>
      <c r="C9" s="5">
        <v>88487</v>
      </c>
      <c r="D9" s="5">
        <v>82232</v>
      </c>
      <c r="E9" s="5">
        <v>1597</v>
      </c>
      <c r="F9" s="5">
        <v>14202</v>
      </c>
      <c r="G9" s="5">
        <v>2568</v>
      </c>
      <c r="H9" s="5">
        <v>11940</v>
      </c>
      <c r="I9" s="5">
        <v>16</v>
      </c>
      <c r="J9" s="5">
        <v>0</v>
      </c>
      <c r="K9" s="5">
        <v>1456</v>
      </c>
      <c r="L9" s="5">
        <v>7070</v>
      </c>
      <c r="M9" s="5">
        <v>1</v>
      </c>
      <c r="N9" s="5">
        <v>3134</v>
      </c>
      <c r="O9" s="5">
        <v>83</v>
      </c>
      <c r="P9" s="5">
        <v>1322</v>
      </c>
      <c r="Q9" s="5">
        <v>86</v>
      </c>
      <c r="R9" s="5">
        <v>88</v>
      </c>
      <c r="S9" s="5">
        <v>0</v>
      </c>
      <c r="T9" s="5">
        <v>0</v>
      </c>
      <c r="U9" s="5">
        <v>234</v>
      </c>
      <c r="V9" s="5">
        <v>0</v>
      </c>
      <c r="W9" s="5">
        <v>962</v>
      </c>
      <c r="X9" s="5">
        <v>0</v>
      </c>
      <c r="Y9" s="5">
        <v>0</v>
      </c>
      <c r="Z9" s="5">
        <v>2419</v>
      </c>
      <c r="AA9" s="8">
        <f>SUM(B9:Z9)</f>
        <v>322505</v>
      </c>
    </row>
    <row r="10" spans="1:27" x14ac:dyDescent="0.25">
      <c r="A10" s="5" t="s">
        <v>2</v>
      </c>
      <c r="B10" s="5">
        <v>101083</v>
      </c>
      <c r="C10" s="5">
        <v>53256</v>
      </c>
      <c r="D10" s="5">
        <v>38491</v>
      </c>
      <c r="E10" s="5">
        <v>0</v>
      </c>
      <c r="F10" s="5">
        <v>2309</v>
      </c>
      <c r="G10" s="5">
        <v>2082</v>
      </c>
      <c r="H10" s="5">
        <v>13481</v>
      </c>
      <c r="I10" s="5">
        <v>0</v>
      </c>
      <c r="J10" s="5">
        <v>0</v>
      </c>
      <c r="K10" s="5">
        <v>846</v>
      </c>
      <c r="L10" s="5">
        <v>2995</v>
      </c>
      <c r="M10" s="5">
        <v>0</v>
      </c>
      <c r="N10" s="5">
        <v>6040</v>
      </c>
      <c r="O10" s="5">
        <v>424</v>
      </c>
      <c r="P10" s="5">
        <v>812</v>
      </c>
      <c r="Q10" s="5">
        <v>619</v>
      </c>
      <c r="R10" s="5">
        <v>5</v>
      </c>
      <c r="S10" s="5">
        <v>0</v>
      </c>
      <c r="T10" s="5">
        <v>0</v>
      </c>
      <c r="U10" s="5">
        <v>302</v>
      </c>
      <c r="V10" s="5">
        <v>0</v>
      </c>
      <c r="W10" s="5">
        <v>393</v>
      </c>
      <c r="X10" s="5">
        <v>0</v>
      </c>
      <c r="Y10" s="5">
        <v>0</v>
      </c>
      <c r="Z10" s="5">
        <v>0</v>
      </c>
      <c r="AA10" s="8">
        <f>SUM(B10:Z10)</f>
        <v>223138</v>
      </c>
    </row>
    <row r="11" spans="1:27" x14ac:dyDescent="0.25">
      <c r="A11" s="5" t="s">
        <v>306</v>
      </c>
      <c r="B11" s="5">
        <v>95104</v>
      </c>
      <c r="C11" s="5">
        <v>9027</v>
      </c>
      <c r="D11" s="5">
        <v>0</v>
      </c>
      <c r="E11" s="5">
        <v>0</v>
      </c>
      <c r="F11" s="5">
        <v>7311</v>
      </c>
      <c r="G11" s="5">
        <v>1893</v>
      </c>
      <c r="H11" s="5">
        <v>8819</v>
      </c>
      <c r="I11" s="5">
        <v>853</v>
      </c>
      <c r="J11" s="5">
        <v>0</v>
      </c>
      <c r="K11" s="5">
        <v>673</v>
      </c>
      <c r="L11" s="5">
        <v>2976</v>
      </c>
      <c r="M11" s="5">
        <v>19</v>
      </c>
      <c r="N11" s="5">
        <v>0</v>
      </c>
      <c r="O11" s="5">
        <v>20</v>
      </c>
      <c r="P11" s="5">
        <v>2233</v>
      </c>
      <c r="Q11" s="5">
        <v>57</v>
      </c>
      <c r="R11" s="5">
        <v>0</v>
      </c>
      <c r="S11" s="5">
        <v>0</v>
      </c>
      <c r="T11" s="5">
        <v>8611</v>
      </c>
      <c r="U11" s="5">
        <v>125</v>
      </c>
      <c r="V11" s="5">
        <v>0</v>
      </c>
      <c r="W11" s="5">
        <v>301</v>
      </c>
      <c r="X11" s="5">
        <v>0</v>
      </c>
      <c r="Y11" s="5">
        <v>0</v>
      </c>
      <c r="Z11" s="5">
        <v>0</v>
      </c>
      <c r="AA11" s="8">
        <f>SUM(B11:Z11)</f>
        <v>138022</v>
      </c>
    </row>
    <row r="12" spans="1:27" x14ac:dyDescent="0.25">
      <c r="A12" s="5" t="s">
        <v>308</v>
      </c>
      <c r="B12" s="5">
        <v>92999</v>
      </c>
      <c r="C12" s="5">
        <v>37817</v>
      </c>
      <c r="D12" s="5">
        <v>32109</v>
      </c>
      <c r="E12" s="5">
        <v>0</v>
      </c>
      <c r="F12" s="5">
        <v>5229</v>
      </c>
      <c r="G12" s="5">
        <v>1737</v>
      </c>
      <c r="H12" s="5">
        <v>4279</v>
      </c>
      <c r="I12" s="5">
        <v>0</v>
      </c>
      <c r="J12" s="5">
        <v>0</v>
      </c>
      <c r="K12" s="5">
        <v>1229</v>
      </c>
      <c r="L12" s="5">
        <v>5526</v>
      </c>
      <c r="M12" s="5">
        <v>2</v>
      </c>
      <c r="N12" s="5">
        <v>0</v>
      </c>
      <c r="O12" s="5">
        <v>23</v>
      </c>
      <c r="P12" s="5">
        <v>183</v>
      </c>
      <c r="Q12" s="5">
        <v>0</v>
      </c>
      <c r="R12" s="5">
        <v>19</v>
      </c>
      <c r="S12" s="5">
        <v>2</v>
      </c>
      <c r="T12" s="5">
        <v>6197</v>
      </c>
      <c r="U12" s="5">
        <v>215</v>
      </c>
      <c r="V12" s="5">
        <v>0</v>
      </c>
      <c r="W12" s="5">
        <v>1579</v>
      </c>
      <c r="X12" s="5">
        <v>0</v>
      </c>
      <c r="Y12" s="5">
        <v>0</v>
      </c>
      <c r="Z12" s="5">
        <v>0</v>
      </c>
      <c r="AA12" s="8">
        <f>SUM(B12:Z12)</f>
        <v>189145</v>
      </c>
    </row>
    <row r="13" spans="1:27" x14ac:dyDescent="0.25">
      <c r="A13" s="5" t="s">
        <v>157</v>
      </c>
      <c r="B13" s="5">
        <v>85330</v>
      </c>
      <c r="C13" s="5">
        <v>23838</v>
      </c>
      <c r="D13" s="5">
        <v>0</v>
      </c>
      <c r="E13" s="5">
        <v>0</v>
      </c>
      <c r="F13" s="5">
        <v>10321</v>
      </c>
      <c r="G13" s="5">
        <v>315</v>
      </c>
      <c r="H13" s="5">
        <v>4634</v>
      </c>
      <c r="I13" s="5">
        <v>0</v>
      </c>
      <c r="J13" s="5">
        <v>0</v>
      </c>
      <c r="K13" s="5">
        <v>1034</v>
      </c>
      <c r="L13" s="5">
        <v>3780</v>
      </c>
      <c r="M13" s="5">
        <v>0</v>
      </c>
      <c r="N13" s="5">
        <v>0</v>
      </c>
      <c r="O13" s="5">
        <v>103</v>
      </c>
      <c r="P13" s="5">
        <v>777</v>
      </c>
      <c r="Q13" s="5">
        <v>30</v>
      </c>
      <c r="R13" s="5">
        <v>0</v>
      </c>
      <c r="S13" s="5">
        <v>0</v>
      </c>
      <c r="T13" s="5">
        <v>0</v>
      </c>
      <c r="U13" s="5">
        <v>110</v>
      </c>
      <c r="V13" s="5">
        <v>0</v>
      </c>
      <c r="W13" s="5">
        <v>242</v>
      </c>
      <c r="X13" s="5">
        <v>0</v>
      </c>
      <c r="Y13" s="5">
        <v>1</v>
      </c>
      <c r="Z13" s="5">
        <v>0</v>
      </c>
      <c r="AA13" s="8">
        <f>SUM(B13:Z13)</f>
        <v>130515</v>
      </c>
    </row>
    <row r="14" spans="1:27" x14ac:dyDescent="0.25">
      <c r="A14" s="5" t="s">
        <v>47</v>
      </c>
      <c r="B14" s="5">
        <v>84894</v>
      </c>
      <c r="C14" s="5">
        <v>41070</v>
      </c>
      <c r="D14" s="5">
        <v>0</v>
      </c>
      <c r="E14" s="5">
        <v>408</v>
      </c>
      <c r="F14" s="5">
        <v>79261</v>
      </c>
      <c r="G14" s="5">
        <v>128</v>
      </c>
      <c r="H14" s="5">
        <v>6861</v>
      </c>
      <c r="I14" s="5">
        <v>34</v>
      </c>
      <c r="J14" s="5">
        <v>0</v>
      </c>
      <c r="K14" s="5">
        <v>4269</v>
      </c>
      <c r="L14" s="5">
        <v>20955</v>
      </c>
      <c r="M14" s="5">
        <v>8</v>
      </c>
      <c r="N14" s="5">
        <v>0</v>
      </c>
      <c r="O14" s="5">
        <v>45</v>
      </c>
      <c r="P14" s="5">
        <v>592</v>
      </c>
      <c r="Q14" s="5">
        <v>162</v>
      </c>
      <c r="R14" s="5">
        <v>10</v>
      </c>
      <c r="S14" s="5">
        <v>0</v>
      </c>
      <c r="T14" s="5">
        <v>784</v>
      </c>
      <c r="U14" s="5">
        <v>194</v>
      </c>
      <c r="V14" s="5">
        <v>0</v>
      </c>
      <c r="W14" s="5">
        <v>723</v>
      </c>
      <c r="X14" s="5">
        <v>14</v>
      </c>
      <c r="Y14" s="5">
        <v>0</v>
      </c>
      <c r="Z14" s="5">
        <v>0</v>
      </c>
      <c r="AA14" s="8">
        <f>SUM(B14:Z14)</f>
        <v>240412</v>
      </c>
    </row>
    <row r="15" spans="1:27" x14ac:dyDescent="0.25">
      <c r="A15" s="5" t="s">
        <v>94</v>
      </c>
      <c r="B15" s="5">
        <v>83800</v>
      </c>
      <c r="C15" s="5">
        <v>24894</v>
      </c>
      <c r="D15" s="5">
        <v>8354</v>
      </c>
      <c r="E15" s="5">
        <v>6860</v>
      </c>
      <c r="F15" s="5">
        <v>69363</v>
      </c>
      <c r="G15" s="5">
        <v>8369</v>
      </c>
      <c r="H15" s="5">
        <v>2452</v>
      </c>
      <c r="I15" s="5">
        <v>0</v>
      </c>
      <c r="J15" s="5">
        <v>0</v>
      </c>
      <c r="K15" s="5">
        <v>1387</v>
      </c>
      <c r="L15" s="5">
        <v>9318</v>
      </c>
      <c r="M15" s="5">
        <v>0</v>
      </c>
      <c r="N15" s="5">
        <v>0</v>
      </c>
      <c r="O15" s="5">
        <v>34</v>
      </c>
      <c r="P15" s="5">
        <v>1617</v>
      </c>
      <c r="Q15" s="5">
        <v>58</v>
      </c>
      <c r="R15" s="5">
        <v>4</v>
      </c>
      <c r="S15" s="5">
        <v>0</v>
      </c>
      <c r="T15" s="5">
        <v>0</v>
      </c>
      <c r="U15" s="5">
        <v>58</v>
      </c>
      <c r="V15" s="5">
        <v>0</v>
      </c>
      <c r="W15" s="5">
        <v>1362</v>
      </c>
      <c r="X15" s="5">
        <v>0</v>
      </c>
      <c r="Y15" s="5">
        <v>0</v>
      </c>
      <c r="Z15" s="5">
        <v>0</v>
      </c>
      <c r="AA15" s="8">
        <f>SUM(B15:Z15)</f>
        <v>217930</v>
      </c>
    </row>
    <row r="16" spans="1:27" x14ac:dyDescent="0.25">
      <c r="A16" s="5" t="s">
        <v>280</v>
      </c>
      <c r="B16" s="5">
        <v>68377</v>
      </c>
      <c r="C16" s="5">
        <v>3570</v>
      </c>
      <c r="D16" s="5">
        <v>5361</v>
      </c>
      <c r="E16" s="5">
        <v>0</v>
      </c>
      <c r="F16" s="5">
        <v>2055</v>
      </c>
      <c r="G16" s="5">
        <v>1774</v>
      </c>
      <c r="H16" s="5">
        <v>1857</v>
      </c>
      <c r="I16" s="5">
        <v>0</v>
      </c>
      <c r="J16" s="5">
        <v>0</v>
      </c>
      <c r="K16" s="5">
        <v>302</v>
      </c>
      <c r="L16" s="5">
        <v>3371</v>
      </c>
      <c r="M16" s="5">
        <v>0</v>
      </c>
      <c r="N16" s="5">
        <v>0</v>
      </c>
      <c r="O16" s="5">
        <v>15</v>
      </c>
      <c r="P16" s="5">
        <v>1820</v>
      </c>
      <c r="Q16" s="5">
        <v>4</v>
      </c>
      <c r="R16" s="5">
        <v>0</v>
      </c>
      <c r="S16" s="5">
        <v>0</v>
      </c>
      <c r="T16" s="5">
        <v>35</v>
      </c>
      <c r="U16" s="5">
        <v>121</v>
      </c>
      <c r="V16" s="5">
        <v>0</v>
      </c>
      <c r="W16" s="5">
        <v>44</v>
      </c>
      <c r="X16" s="5">
        <v>0</v>
      </c>
      <c r="Y16" s="5">
        <v>0</v>
      </c>
      <c r="Z16" s="5">
        <v>0</v>
      </c>
      <c r="AA16" s="8">
        <f>SUM(B16:Z16)</f>
        <v>88706</v>
      </c>
    </row>
    <row r="17" spans="1:27" x14ac:dyDescent="0.25">
      <c r="A17" s="5" t="s">
        <v>304</v>
      </c>
      <c r="B17" s="5">
        <v>67636</v>
      </c>
      <c r="C17" s="5">
        <v>46119</v>
      </c>
      <c r="D17" s="5">
        <v>6373</v>
      </c>
      <c r="E17" s="5">
        <v>0</v>
      </c>
      <c r="F17" s="5">
        <v>5220</v>
      </c>
      <c r="G17" s="5">
        <v>1128</v>
      </c>
      <c r="H17" s="5">
        <v>11954</v>
      </c>
      <c r="I17" s="5">
        <v>0</v>
      </c>
      <c r="J17" s="5">
        <v>0</v>
      </c>
      <c r="K17" s="5">
        <v>1159</v>
      </c>
      <c r="L17" s="5">
        <v>4667</v>
      </c>
      <c r="M17" s="5">
        <v>5</v>
      </c>
      <c r="N17" s="5">
        <v>10071</v>
      </c>
      <c r="O17" s="5">
        <v>0</v>
      </c>
      <c r="P17" s="5">
        <v>1706</v>
      </c>
      <c r="Q17" s="5">
        <v>13</v>
      </c>
      <c r="R17" s="5">
        <v>25</v>
      </c>
      <c r="S17" s="5">
        <v>0</v>
      </c>
      <c r="T17" s="5">
        <v>0</v>
      </c>
      <c r="U17" s="5">
        <v>249</v>
      </c>
      <c r="V17" s="5">
        <v>0</v>
      </c>
      <c r="W17" s="5">
        <v>158</v>
      </c>
      <c r="X17" s="5">
        <v>0</v>
      </c>
      <c r="Y17" s="5">
        <v>0</v>
      </c>
      <c r="Z17" s="5">
        <v>0</v>
      </c>
      <c r="AA17" s="8">
        <f>SUM(B17:Z17)</f>
        <v>156483</v>
      </c>
    </row>
    <row r="18" spans="1:27" x14ac:dyDescent="0.25">
      <c r="A18" s="5" t="s">
        <v>163</v>
      </c>
      <c r="B18" s="5">
        <v>64669</v>
      </c>
      <c r="C18" s="5">
        <v>1014</v>
      </c>
      <c r="D18" s="5">
        <v>0</v>
      </c>
      <c r="E18" s="5">
        <v>0</v>
      </c>
      <c r="F18" s="5">
        <v>8162</v>
      </c>
      <c r="G18" s="5">
        <v>538</v>
      </c>
      <c r="H18" s="5">
        <v>4691</v>
      </c>
      <c r="I18" s="5">
        <v>0</v>
      </c>
      <c r="J18" s="5">
        <v>0</v>
      </c>
      <c r="K18" s="5">
        <v>708</v>
      </c>
      <c r="L18" s="5">
        <v>3389</v>
      </c>
      <c r="M18" s="5">
        <v>0</v>
      </c>
      <c r="N18" s="5">
        <v>0</v>
      </c>
      <c r="O18" s="5">
        <v>2</v>
      </c>
      <c r="P18" s="5">
        <v>703</v>
      </c>
      <c r="Q18" s="5">
        <v>45</v>
      </c>
      <c r="R18" s="5">
        <v>0</v>
      </c>
      <c r="S18" s="5">
        <v>2</v>
      </c>
      <c r="T18" s="5">
        <v>0</v>
      </c>
      <c r="U18" s="5">
        <v>194</v>
      </c>
      <c r="V18" s="5">
        <v>0</v>
      </c>
      <c r="W18" s="5">
        <v>66</v>
      </c>
      <c r="X18" s="5">
        <v>0</v>
      </c>
      <c r="Y18" s="5">
        <v>0</v>
      </c>
      <c r="Z18" s="5">
        <v>0</v>
      </c>
      <c r="AA18" s="8">
        <f>SUM(B18:Z18)</f>
        <v>84183</v>
      </c>
    </row>
    <row r="19" spans="1:27" x14ac:dyDescent="0.25">
      <c r="A19" s="5" t="s">
        <v>167</v>
      </c>
      <c r="B19" s="5">
        <v>63963</v>
      </c>
      <c r="C19" s="5">
        <v>2459</v>
      </c>
      <c r="D19" s="5">
        <v>0</v>
      </c>
      <c r="E19" s="5">
        <v>0</v>
      </c>
      <c r="F19" s="5">
        <v>14249</v>
      </c>
      <c r="G19" s="5">
        <v>418</v>
      </c>
      <c r="H19" s="5">
        <v>3146</v>
      </c>
      <c r="I19" s="5">
        <v>0</v>
      </c>
      <c r="J19" s="5">
        <v>0</v>
      </c>
      <c r="K19" s="5">
        <v>533</v>
      </c>
      <c r="L19" s="5">
        <v>2035</v>
      </c>
      <c r="M19" s="5">
        <v>2</v>
      </c>
      <c r="N19" s="5">
        <v>0</v>
      </c>
      <c r="O19" s="5">
        <v>39</v>
      </c>
      <c r="P19" s="5">
        <v>30</v>
      </c>
      <c r="Q19" s="5">
        <v>6</v>
      </c>
      <c r="R19" s="5">
        <v>0</v>
      </c>
      <c r="S19" s="5">
        <v>0</v>
      </c>
      <c r="T19" s="5">
        <v>0</v>
      </c>
      <c r="U19" s="5">
        <v>112</v>
      </c>
      <c r="V19" s="5">
        <v>0</v>
      </c>
      <c r="W19" s="5">
        <v>106</v>
      </c>
      <c r="X19" s="5">
        <v>0</v>
      </c>
      <c r="Y19" s="5">
        <v>0</v>
      </c>
      <c r="Z19" s="5">
        <v>0</v>
      </c>
      <c r="AA19" s="8">
        <f>SUM(B19:Z19)</f>
        <v>87098</v>
      </c>
    </row>
    <row r="20" spans="1:27" x14ac:dyDescent="0.25">
      <c r="A20" s="5" t="s">
        <v>279</v>
      </c>
      <c r="B20" s="5">
        <v>63800</v>
      </c>
      <c r="C20" s="5">
        <v>1858</v>
      </c>
      <c r="D20" s="5">
        <v>5300</v>
      </c>
      <c r="E20" s="5">
        <v>2850</v>
      </c>
      <c r="F20" s="5">
        <v>9391</v>
      </c>
      <c r="G20" s="5">
        <v>1774</v>
      </c>
      <c r="H20" s="5">
        <v>1325</v>
      </c>
      <c r="I20" s="5">
        <v>0</v>
      </c>
      <c r="J20" s="5">
        <v>0</v>
      </c>
      <c r="K20" s="5">
        <v>473</v>
      </c>
      <c r="L20" s="5">
        <v>3940</v>
      </c>
      <c r="M20" s="5">
        <v>0</v>
      </c>
      <c r="N20" s="5">
        <v>0</v>
      </c>
      <c r="O20" s="5">
        <v>16</v>
      </c>
      <c r="P20" s="5">
        <v>107</v>
      </c>
      <c r="Q20" s="5">
        <v>19</v>
      </c>
      <c r="R20" s="5">
        <v>0</v>
      </c>
      <c r="S20" s="5">
        <v>0</v>
      </c>
      <c r="T20" s="5">
        <v>0</v>
      </c>
      <c r="U20" s="5">
        <v>87</v>
      </c>
      <c r="V20" s="5">
        <v>0</v>
      </c>
      <c r="W20" s="5">
        <v>73</v>
      </c>
      <c r="X20" s="5">
        <v>0</v>
      </c>
      <c r="Y20" s="5">
        <v>0</v>
      </c>
      <c r="Z20" s="5">
        <v>0</v>
      </c>
      <c r="AA20" s="8">
        <f>SUM(B20:Z20)</f>
        <v>91013</v>
      </c>
    </row>
    <row r="21" spans="1:27" x14ac:dyDescent="0.25">
      <c r="A21" s="5" t="s">
        <v>86</v>
      </c>
      <c r="B21" s="5">
        <v>63329</v>
      </c>
      <c r="C21" s="5">
        <v>10622</v>
      </c>
      <c r="D21" s="5">
        <v>7386</v>
      </c>
      <c r="E21" s="5">
        <v>18</v>
      </c>
      <c r="F21" s="5">
        <v>17082</v>
      </c>
      <c r="G21" s="5">
        <v>803</v>
      </c>
      <c r="H21" s="5">
        <v>2613</v>
      </c>
      <c r="I21" s="5">
        <v>0</v>
      </c>
      <c r="J21" s="5">
        <v>0</v>
      </c>
      <c r="K21" s="5">
        <v>3579</v>
      </c>
      <c r="L21" s="5">
        <v>9818</v>
      </c>
      <c r="M21" s="5">
        <v>25</v>
      </c>
      <c r="N21" s="5">
        <v>0</v>
      </c>
      <c r="O21" s="5">
        <v>7</v>
      </c>
      <c r="P21" s="5">
        <v>88</v>
      </c>
      <c r="Q21" s="5">
        <v>11</v>
      </c>
      <c r="R21" s="5">
        <v>0</v>
      </c>
      <c r="S21" s="5">
        <v>0</v>
      </c>
      <c r="T21" s="5">
        <v>0</v>
      </c>
      <c r="U21" s="5">
        <v>23</v>
      </c>
      <c r="V21" s="5">
        <v>0</v>
      </c>
      <c r="W21" s="5">
        <v>136</v>
      </c>
      <c r="X21" s="5">
        <v>0</v>
      </c>
      <c r="Y21" s="5">
        <v>0</v>
      </c>
      <c r="Z21" s="5">
        <v>0</v>
      </c>
      <c r="AA21" s="8">
        <f>SUM(B21:Z21)</f>
        <v>115540</v>
      </c>
    </row>
    <row r="22" spans="1:27" x14ac:dyDescent="0.25">
      <c r="A22" s="5" t="s">
        <v>165</v>
      </c>
      <c r="B22" s="5">
        <v>56945</v>
      </c>
      <c r="C22" s="5">
        <v>21399</v>
      </c>
      <c r="D22" s="5">
        <v>15708</v>
      </c>
      <c r="E22" s="5">
        <v>900</v>
      </c>
      <c r="F22" s="5">
        <v>16714</v>
      </c>
      <c r="G22" s="5">
        <v>548</v>
      </c>
      <c r="H22" s="5">
        <v>6261</v>
      </c>
      <c r="I22" s="5">
        <v>0</v>
      </c>
      <c r="J22" s="5">
        <v>0</v>
      </c>
      <c r="K22" s="5">
        <v>563</v>
      </c>
      <c r="L22" s="5">
        <v>3233</v>
      </c>
      <c r="M22" s="5">
        <v>0</v>
      </c>
      <c r="N22" s="5">
        <v>0</v>
      </c>
      <c r="O22" s="5">
        <v>4</v>
      </c>
      <c r="P22" s="5">
        <v>513</v>
      </c>
      <c r="Q22" s="5">
        <v>25</v>
      </c>
      <c r="R22" s="5">
        <v>0</v>
      </c>
      <c r="S22" s="5">
        <v>0</v>
      </c>
      <c r="T22" s="5">
        <v>0</v>
      </c>
      <c r="U22" s="5">
        <v>166</v>
      </c>
      <c r="V22" s="5">
        <v>0</v>
      </c>
      <c r="W22" s="5">
        <v>187</v>
      </c>
      <c r="X22" s="5">
        <v>0</v>
      </c>
      <c r="Y22" s="5">
        <v>0</v>
      </c>
      <c r="Z22" s="5">
        <v>0</v>
      </c>
      <c r="AA22" s="8">
        <f>SUM(B22:Z22)</f>
        <v>123166</v>
      </c>
    </row>
    <row r="23" spans="1:27" x14ac:dyDescent="0.25">
      <c r="A23" s="5" t="s">
        <v>85</v>
      </c>
      <c r="B23" s="5">
        <v>56464</v>
      </c>
      <c r="C23" s="5">
        <v>13447</v>
      </c>
      <c r="D23" s="5">
        <v>0</v>
      </c>
      <c r="E23" s="5">
        <v>148</v>
      </c>
      <c r="F23" s="5">
        <v>12945</v>
      </c>
      <c r="G23" s="5">
        <v>1860</v>
      </c>
      <c r="H23" s="5">
        <v>3697</v>
      </c>
      <c r="I23" s="5">
        <v>0</v>
      </c>
      <c r="J23" s="5">
        <v>0</v>
      </c>
      <c r="K23" s="5">
        <v>1234</v>
      </c>
      <c r="L23" s="5">
        <v>2458</v>
      </c>
      <c r="M23" s="5">
        <v>0</v>
      </c>
      <c r="N23" s="5">
        <v>0</v>
      </c>
      <c r="O23" s="5">
        <v>18</v>
      </c>
      <c r="P23" s="5">
        <v>1721</v>
      </c>
      <c r="Q23" s="5">
        <v>4</v>
      </c>
      <c r="R23" s="5">
        <v>0</v>
      </c>
      <c r="S23" s="5">
        <v>0</v>
      </c>
      <c r="T23" s="5">
        <v>0</v>
      </c>
      <c r="U23" s="5">
        <v>156</v>
      </c>
      <c r="V23" s="5">
        <v>0</v>
      </c>
      <c r="W23" s="5">
        <v>103</v>
      </c>
      <c r="X23" s="5">
        <v>0</v>
      </c>
      <c r="Y23" s="5">
        <v>0</v>
      </c>
      <c r="Z23" s="5">
        <v>0</v>
      </c>
      <c r="AA23" s="8">
        <f>SUM(B23:Z23)</f>
        <v>94255</v>
      </c>
    </row>
    <row r="24" spans="1:27" x14ac:dyDescent="0.25">
      <c r="A24" s="5" t="s">
        <v>305</v>
      </c>
      <c r="B24" s="5">
        <v>55194</v>
      </c>
      <c r="C24" s="5">
        <v>13397</v>
      </c>
      <c r="D24" s="5">
        <v>0</v>
      </c>
      <c r="E24" s="5">
        <v>0</v>
      </c>
      <c r="F24" s="5">
        <v>7745</v>
      </c>
      <c r="G24" s="5">
        <v>2709</v>
      </c>
      <c r="H24" s="5">
        <v>6171</v>
      </c>
      <c r="I24" s="5">
        <v>0</v>
      </c>
      <c r="J24" s="5">
        <v>0</v>
      </c>
      <c r="K24" s="5">
        <v>252</v>
      </c>
      <c r="L24" s="5">
        <v>1632</v>
      </c>
      <c r="M24" s="5">
        <v>4</v>
      </c>
      <c r="N24" s="5">
        <v>0</v>
      </c>
      <c r="O24" s="5">
        <v>16</v>
      </c>
      <c r="P24" s="5">
        <v>590</v>
      </c>
      <c r="Q24" s="5">
        <v>0</v>
      </c>
      <c r="R24" s="5">
        <v>0</v>
      </c>
      <c r="S24" s="5">
        <v>0</v>
      </c>
      <c r="T24" s="5">
        <v>10732</v>
      </c>
      <c r="U24" s="5">
        <v>118</v>
      </c>
      <c r="V24" s="5">
        <v>0</v>
      </c>
      <c r="W24" s="5">
        <v>127</v>
      </c>
      <c r="X24" s="5">
        <v>0</v>
      </c>
      <c r="Y24" s="5">
        <v>0</v>
      </c>
      <c r="Z24" s="5">
        <v>0</v>
      </c>
      <c r="AA24" s="8">
        <f>SUM(B24:Z24)</f>
        <v>98687</v>
      </c>
    </row>
    <row r="25" spans="1:27" x14ac:dyDescent="0.25">
      <c r="A25" s="5" t="s">
        <v>269</v>
      </c>
      <c r="B25" s="5">
        <v>54463</v>
      </c>
      <c r="C25" s="5">
        <v>62778</v>
      </c>
      <c r="D25" s="5">
        <v>95647</v>
      </c>
      <c r="E25" s="5">
        <v>772</v>
      </c>
      <c r="F25" s="5">
        <v>3619</v>
      </c>
      <c r="G25" s="5">
        <v>1019</v>
      </c>
      <c r="H25" s="5">
        <v>7319</v>
      </c>
      <c r="I25" s="5">
        <v>0</v>
      </c>
      <c r="J25" s="5">
        <v>0</v>
      </c>
      <c r="K25" s="5">
        <v>1066</v>
      </c>
      <c r="L25" s="5">
        <v>4339</v>
      </c>
      <c r="M25" s="5">
        <v>0</v>
      </c>
      <c r="N25" s="5">
        <v>8296</v>
      </c>
      <c r="O25" s="5">
        <v>54</v>
      </c>
      <c r="P25" s="5">
        <v>432</v>
      </c>
      <c r="Q25" s="5">
        <v>6</v>
      </c>
      <c r="R25" s="5">
        <v>0</v>
      </c>
      <c r="S25" s="5">
        <v>0</v>
      </c>
      <c r="T25" s="5">
        <v>8720</v>
      </c>
      <c r="U25" s="5">
        <v>54</v>
      </c>
      <c r="V25" s="5">
        <v>0</v>
      </c>
      <c r="W25" s="5">
        <v>428</v>
      </c>
      <c r="X25" s="5">
        <v>1</v>
      </c>
      <c r="Y25" s="5">
        <v>0</v>
      </c>
      <c r="Z25" s="5">
        <v>4</v>
      </c>
      <c r="AA25" s="8">
        <f>SUM(B25:Z25)</f>
        <v>249017</v>
      </c>
    </row>
    <row r="26" spans="1:27" x14ac:dyDescent="0.25">
      <c r="A26" s="5" t="s">
        <v>160</v>
      </c>
      <c r="B26" s="5">
        <v>52516</v>
      </c>
      <c r="C26" s="5">
        <v>59250</v>
      </c>
      <c r="D26" s="5">
        <v>8628</v>
      </c>
      <c r="E26" s="5">
        <v>1816</v>
      </c>
      <c r="F26" s="5">
        <v>10234</v>
      </c>
      <c r="G26" s="5">
        <v>123</v>
      </c>
      <c r="H26" s="5">
        <v>3793</v>
      </c>
      <c r="I26" s="5">
        <v>0</v>
      </c>
      <c r="J26" s="5">
        <v>0</v>
      </c>
      <c r="K26" s="5">
        <v>832</v>
      </c>
      <c r="L26" s="5">
        <v>5512</v>
      </c>
      <c r="M26" s="5">
        <v>6</v>
      </c>
      <c r="N26" s="5">
        <v>0</v>
      </c>
      <c r="O26" s="5">
        <v>11</v>
      </c>
      <c r="P26" s="5">
        <v>839</v>
      </c>
      <c r="Q26" s="5">
        <v>0</v>
      </c>
      <c r="R26" s="5">
        <v>0</v>
      </c>
      <c r="S26" s="5">
        <v>0</v>
      </c>
      <c r="T26" s="5">
        <v>0</v>
      </c>
      <c r="U26" s="5">
        <v>48</v>
      </c>
      <c r="V26" s="5">
        <v>0</v>
      </c>
      <c r="W26" s="5">
        <v>208</v>
      </c>
      <c r="X26" s="5">
        <v>0</v>
      </c>
      <c r="Y26" s="5">
        <v>0</v>
      </c>
      <c r="Z26" s="5">
        <v>0</v>
      </c>
      <c r="AA26" s="8">
        <f>SUM(B26:Z26)</f>
        <v>143816</v>
      </c>
    </row>
    <row r="27" spans="1:27" x14ac:dyDescent="0.25">
      <c r="A27" s="5" t="s">
        <v>75</v>
      </c>
      <c r="B27" s="5">
        <v>49248</v>
      </c>
      <c r="C27" s="5">
        <v>786</v>
      </c>
      <c r="D27" s="5">
        <v>0</v>
      </c>
      <c r="E27" s="5">
        <v>0</v>
      </c>
      <c r="F27" s="5">
        <v>2603</v>
      </c>
      <c r="G27" s="5">
        <v>144</v>
      </c>
      <c r="H27" s="5">
        <v>2998</v>
      </c>
      <c r="I27" s="5">
        <v>0</v>
      </c>
      <c r="J27" s="5">
        <v>0</v>
      </c>
      <c r="K27" s="5">
        <v>441</v>
      </c>
      <c r="L27" s="5">
        <v>2340</v>
      </c>
      <c r="M27" s="5">
        <v>0</v>
      </c>
      <c r="N27" s="5">
        <v>0</v>
      </c>
      <c r="O27" s="5">
        <v>0</v>
      </c>
      <c r="P27" s="5">
        <v>502</v>
      </c>
      <c r="Q27" s="5">
        <v>16</v>
      </c>
      <c r="R27" s="5">
        <v>0</v>
      </c>
      <c r="S27" s="5">
        <v>0</v>
      </c>
      <c r="T27" s="5">
        <v>0</v>
      </c>
      <c r="U27" s="5">
        <v>114</v>
      </c>
      <c r="V27" s="5">
        <v>0</v>
      </c>
      <c r="W27" s="5">
        <v>77</v>
      </c>
      <c r="X27" s="5">
        <v>0</v>
      </c>
      <c r="Y27" s="5">
        <v>0</v>
      </c>
      <c r="Z27" s="5">
        <v>0</v>
      </c>
      <c r="AA27" s="8">
        <f>SUM(B27:Z27)</f>
        <v>59269</v>
      </c>
    </row>
    <row r="28" spans="1:27" x14ac:dyDescent="0.25">
      <c r="A28" s="5" t="s">
        <v>109</v>
      </c>
      <c r="B28" s="5">
        <v>48577</v>
      </c>
      <c r="C28" s="5">
        <v>7450</v>
      </c>
      <c r="D28" s="5">
        <v>8372</v>
      </c>
      <c r="E28" s="5">
        <v>0</v>
      </c>
      <c r="F28" s="5">
        <v>5929</v>
      </c>
      <c r="G28" s="5">
        <v>608</v>
      </c>
      <c r="H28" s="5">
        <v>3201</v>
      </c>
      <c r="I28" s="5">
        <v>1007</v>
      </c>
      <c r="J28" s="5">
        <v>0</v>
      </c>
      <c r="K28" s="5">
        <v>404</v>
      </c>
      <c r="L28" s="5">
        <v>2448</v>
      </c>
      <c r="M28" s="5">
        <v>0</v>
      </c>
      <c r="N28" s="5">
        <v>18976</v>
      </c>
      <c r="O28" s="5">
        <v>27</v>
      </c>
      <c r="P28" s="5">
        <v>664</v>
      </c>
      <c r="Q28" s="5">
        <v>0</v>
      </c>
      <c r="R28" s="5">
        <v>0</v>
      </c>
      <c r="S28" s="5">
        <v>0</v>
      </c>
      <c r="T28" s="5">
        <v>0</v>
      </c>
      <c r="U28" s="5">
        <v>8</v>
      </c>
      <c r="V28" s="5">
        <v>0</v>
      </c>
      <c r="W28" s="5">
        <v>87</v>
      </c>
      <c r="X28" s="5">
        <v>0</v>
      </c>
      <c r="Y28" s="5">
        <v>0</v>
      </c>
      <c r="Z28" s="5">
        <v>0</v>
      </c>
      <c r="AA28" s="8">
        <f>SUM(B28:Z28)</f>
        <v>97758</v>
      </c>
    </row>
    <row r="29" spans="1:27" x14ac:dyDescent="0.25">
      <c r="A29" s="5" t="s">
        <v>81</v>
      </c>
      <c r="B29" s="5">
        <v>45554</v>
      </c>
      <c r="C29" s="5">
        <v>59793</v>
      </c>
      <c r="D29" s="5">
        <v>19780</v>
      </c>
      <c r="E29" s="5">
        <v>51</v>
      </c>
      <c r="F29" s="5">
        <v>15507</v>
      </c>
      <c r="G29" s="5">
        <v>1077</v>
      </c>
      <c r="H29" s="5">
        <v>2776</v>
      </c>
      <c r="I29" s="5">
        <v>19</v>
      </c>
      <c r="J29" s="5">
        <v>0</v>
      </c>
      <c r="K29" s="5">
        <v>2699</v>
      </c>
      <c r="L29" s="5">
        <v>28725</v>
      </c>
      <c r="M29" s="5">
        <v>38</v>
      </c>
      <c r="N29" s="5">
        <v>0</v>
      </c>
      <c r="O29" s="5">
        <v>18</v>
      </c>
      <c r="P29" s="5">
        <v>303</v>
      </c>
      <c r="Q29" s="5">
        <v>85</v>
      </c>
      <c r="R29" s="5">
        <v>2</v>
      </c>
      <c r="S29" s="5">
        <v>0</v>
      </c>
      <c r="T29" s="5">
        <v>0</v>
      </c>
      <c r="U29" s="5">
        <v>0</v>
      </c>
      <c r="V29" s="5">
        <v>0</v>
      </c>
      <c r="W29" s="5">
        <v>222</v>
      </c>
      <c r="X29" s="5">
        <v>0</v>
      </c>
      <c r="Y29" s="5">
        <v>0</v>
      </c>
      <c r="Z29" s="5">
        <v>0</v>
      </c>
      <c r="AA29" s="8">
        <f>SUM(B29:Z29)</f>
        <v>176649</v>
      </c>
    </row>
    <row r="30" spans="1:27" x14ac:dyDescent="0.25">
      <c r="A30" s="5" t="s">
        <v>83</v>
      </c>
      <c r="B30" s="5">
        <v>42378</v>
      </c>
      <c r="C30" s="5">
        <v>20782</v>
      </c>
      <c r="D30" s="5">
        <v>0</v>
      </c>
      <c r="E30" s="5">
        <v>107</v>
      </c>
      <c r="F30" s="5">
        <v>17967</v>
      </c>
      <c r="G30" s="5">
        <v>804</v>
      </c>
      <c r="H30" s="5">
        <v>3422</v>
      </c>
      <c r="I30" s="5">
        <v>0</v>
      </c>
      <c r="J30" s="5">
        <v>0</v>
      </c>
      <c r="K30" s="5">
        <v>2476</v>
      </c>
      <c r="L30" s="5">
        <v>3744</v>
      </c>
      <c r="M30" s="5">
        <v>39</v>
      </c>
      <c r="N30" s="5">
        <v>0</v>
      </c>
      <c r="O30" s="5">
        <v>20</v>
      </c>
      <c r="P30" s="5">
        <v>259</v>
      </c>
      <c r="Q30" s="5">
        <v>97</v>
      </c>
      <c r="R30" s="5">
        <v>0</v>
      </c>
      <c r="S30" s="5">
        <v>0</v>
      </c>
      <c r="T30" s="5">
        <v>0</v>
      </c>
      <c r="U30" s="5">
        <v>86</v>
      </c>
      <c r="V30" s="5">
        <v>0</v>
      </c>
      <c r="W30" s="5">
        <v>66</v>
      </c>
      <c r="X30" s="5">
        <v>0</v>
      </c>
      <c r="Y30" s="5">
        <v>0</v>
      </c>
      <c r="Z30" s="5">
        <v>0</v>
      </c>
      <c r="AA30" s="8">
        <f>SUM(B30:Z30)</f>
        <v>92247</v>
      </c>
    </row>
    <row r="31" spans="1:27" x14ac:dyDescent="0.25">
      <c r="A31" s="5" t="s">
        <v>228</v>
      </c>
      <c r="B31" s="5">
        <v>42336</v>
      </c>
      <c r="C31" s="5">
        <v>3119</v>
      </c>
      <c r="D31" s="5">
        <v>5774</v>
      </c>
      <c r="E31" s="5">
        <v>0</v>
      </c>
      <c r="F31" s="5">
        <v>993</v>
      </c>
      <c r="G31" s="5">
        <v>3155</v>
      </c>
      <c r="H31" s="5">
        <v>4014</v>
      </c>
      <c r="I31" s="5">
        <v>0</v>
      </c>
      <c r="J31" s="5">
        <v>0</v>
      </c>
      <c r="K31" s="5">
        <v>407</v>
      </c>
      <c r="L31" s="5">
        <v>1913</v>
      </c>
      <c r="M31" s="5">
        <v>0</v>
      </c>
      <c r="N31" s="5">
        <v>0</v>
      </c>
      <c r="O31" s="5">
        <v>5</v>
      </c>
      <c r="P31" s="5">
        <v>250</v>
      </c>
      <c r="Q31" s="5">
        <v>59</v>
      </c>
      <c r="R31" s="5">
        <v>0</v>
      </c>
      <c r="S31" s="5">
        <v>0</v>
      </c>
      <c r="T31" s="5">
        <v>0</v>
      </c>
      <c r="U31" s="5">
        <v>42</v>
      </c>
      <c r="V31" s="5">
        <v>0</v>
      </c>
      <c r="W31" s="5">
        <v>260</v>
      </c>
      <c r="X31" s="5">
        <v>0</v>
      </c>
      <c r="Y31" s="5">
        <v>0</v>
      </c>
      <c r="Z31" s="5">
        <v>0</v>
      </c>
      <c r="AA31" s="8">
        <f>SUM(B31:Z31)</f>
        <v>62327</v>
      </c>
    </row>
    <row r="32" spans="1:27" x14ac:dyDescent="0.25">
      <c r="A32" s="5" t="s">
        <v>168</v>
      </c>
      <c r="B32" s="5">
        <v>37619</v>
      </c>
      <c r="C32" s="5">
        <v>23759</v>
      </c>
      <c r="D32" s="5">
        <v>0</v>
      </c>
      <c r="E32" s="5">
        <v>16</v>
      </c>
      <c r="F32" s="5">
        <v>31383</v>
      </c>
      <c r="G32" s="5">
        <v>257</v>
      </c>
      <c r="H32" s="5">
        <v>5198</v>
      </c>
      <c r="I32" s="5">
        <v>0</v>
      </c>
      <c r="J32" s="5">
        <v>0</v>
      </c>
      <c r="K32" s="5">
        <v>630</v>
      </c>
      <c r="L32" s="5">
        <v>2802</v>
      </c>
      <c r="M32" s="5">
        <v>0</v>
      </c>
      <c r="N32" s="5">
        <v>0</v>
      </c>
      <c r="O32" s="5">
        <v>88</v>
      </c>
      <c r="P32" s="5">
        <v>1184</v>
      </c>
      <c r="Q32" s="5">
        <v>46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479</v>
      </c>
      <c r="X32" s="5">
        <v>0</v>
      </c>
      <c r="Y32" s="5">
        <v>0</v>
      </c>
      <c r="Z32" s="5">
        <v>0</v>
      </c>
      <c r="AA32" s="8">
        <f>SUM(B32:Z32)</f>
        <v>103461</v>
      </c>
    </row>
    <row r="33" spans="1:27" x14ac:dyDescent="0.25">
      <c r="A33" s="5" t="s">
        <v>77</v>
      </c>
      <c r="B33" s="5">
        <v>37553</v>
      </c>
      <c r="C33" s="5">
        <v>924</v>
      </c>
      <c r="D33" s="5">
        <v>0</v>
      </c>
      <c r="E33" s="5">
        <v>67</v>
      </c>
      <c r="F33" s="5">
        <v>5010</v>
      </c>
      <c r="G33" s="5">
        <v>62</v>
      </c>
      <c r="H33" s="5">
        <v>1374</v>
      </c>
      <c r="I33" s="5">
        <v>0</v>
      </c>
      <c r="J33" s="5">
        <v>0</v>
      </c>
      <c r="K33" s="5">
        <v>548</v>
      </c>
      <c r="L33" s="5">
        <v>1418</v>
      </c>
      <c r="M33" s="5">
        <v>54</v>
      </c>
      <c r="N33" s="5">
        <v>0</v>
      </c>
      <c r="O33" s="5">
        <v>1</v>
      </c>
      <c r="P33" s="5">
        <v>931</v>
      </c>
      <c r="Q33" s="5">
        <v>0</v>
      </c>
      <c r="R33" s="5">
        <v>0</v>
      </c>
      <c r="S33" s="5">
        <v>0</v>
      </c>
      <c r="T33" s="5">
        <v>0</v>
      </c>
      <c r="U33" s="5">
        <v>62</v>
      </c>
      <c r="V33" s="5">
        <v>0</v>
      </c>
      <c r="W33" s="5">
        <v>140</v>
      </c>
      <c r="X33" s="5">
        <v>0</v>
      </c>
      <c r="Y33" s="5">
        <v>0</v>
      </c>
      <c r="Z33" s="5">
        <v>0</v>
      </c>
      <c r="AA33" s="8">
        <f>SUM(B33:Z33)</f>
        <v>48144</v>
      </c>
    </row>
    <row r="34" spans="1:27" x14ac:dyDescent="0.25">
      <c r="A34" s="5" t="s">
        <v>16</v>
      </c>
      <c r="B34" s="5">
        <v>36383</v>
      </c>
      <c r="C34" s="5">
        <v>14302</v>
      </c>
      <c r="D34" s="5">
        <v>0</v>
      </c>
      <c r="E34" s="5">
        <v>0</v>
      </c>
      <c r="F34" s="5">
        <v>6520</v>
      </c>
      <c r="G34" s="5">
        <v>341</v>
      </c>
      <c r="H34" s="5">
        <v>8948</v>
      </c>
      <c r="I34" s="5">
        <v>157</v>
      </c>
      <c r="J34" s="5">
        <v>0</v>
      </c>
      <c r="K34" s="5">
        <v>387</v>
      </c>
      <c r="L34" s="5">
        <v>1193</v>
      </c>
      <c r="M34" s="5">
        <v>0</v>
      </c>
      <c r="N34" s="5">
        <v>30918</v>
      </c>
      <c r="O34" s="5">
        <v>1</v>
      </c>
      <c r="P34" s="5">
        <v>116</v>
      </c>
      <c r="Q34" s="5">
        <v>34</v>
      </c>
      <c r="R34" s="5">
        <v>0</v>
      </c>
      <c r="S34" s="5">
        <v>0</v>
      </c>
      <c r="T34" s="5">
        <v>8123</v>
      </c>
      <c r="U34" s="5">
        <v>26</v>
      </c>
      <c r="V34" s="5">
        <v>0</v>
      </c>
      <c r="W34" s="5">
        <v>318</v>
      </c>
      <c r="X34" s="5">
        <v>0</v>
      </c>
      <c r="Y34" s="5">
        <v>0</v>
      </c>
      <c r="Z34" s="5">
        <v>19</v>
      </c>
      <c r="AA34" s="8">
        <f>SUM(B34:Z34)</f>
        <v>107786</v>
      </c>
    </row>
    <row r="35" spans="1:27" x14ac:dyDescent="0.25">
      <c r="A35" s="5" t="s">
        <v>161</v>
      </c>
      <c r="B35" s="5">
        <v>35977</v>
      </c>
      <c r="C35" s="5">
        <v>14909</v>
      </c>
      <c r="D35" s="5">
        <v>10167</v>
      </c>
      <c r="E35" s="5">
        <v>6106</v>
      </c>
      <c r="F35" s="5">
        <v>16905</v>
      </c>
      <c r="G35" s="5">
        <v>291</v>
      </c>
      <c r="H35" s="5">
        <v>2589</v>
      </c>
      <c r="I35" s="5">
        <v>0</v>
      </c>
      <c r="J35" s="5">
        <v>0</v>
      </c>
      <c r="K35" s="5">
        <v>611</v>
      </c>
      <c r="L35" s="5">
        <v>1798</v>
      </c>
      <c r="M35" s="5">
        <v>0</v>
      </c>
      <c r="N35" s="5">
        <v>0</v>
      </c>
      <c r="O35" s="5">
        <v>78</v>
      </c>
      <c r="P35" s="5">
        <v>1188</v>
      </c>
      <c r="Q35" s="5">
        <v>25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44</v>
      </c>
      <c r="X35" s="5">
        <v>0</v>
      </c>
      <c r="Y35" s="5">
        <v>0</v>
      </c>
      <c r="Z35" s="5">
        <v>0</v>
      </c>
      <c r="AA35" s="8">
        <f>SUM(B35:Z35)</f>
        <v>90688</v>
      </c>
    </row>
    <row r="36" spans="1:27" x14ac:dyDescent="0.25">
      <c r="A36" s="5" t="s">
        <v>283</v>
      </c>
      <c r="B36" s="5">
        <v>35209</v>
      </c>
      <c r="C36" s="5">
        <v>7516</v>
      </c>
      <c r="D36" s="5">
        <v>7136</v>
      </c>
      <c r="E36" s="5">
        <v>0</v>
      </c>
      <c r="F36" s="5">
        <v>343</v>
      </c>
      <c r="G36" s="5">
        <v>468</v>
      </c>
      <c r="H36" s="5">
        <v>1099</v>
      </c>
      <c r="I36" s="5">
        <v>0</v>
      </c>
      <c r="J36" s="5">
        <v>0</v>
      </c>
      <c r="K36" s="5">
        <v>186</v>
      </c>
      <c r="L36" s="5">
        <v>1540</v>
      </c>
      <c r="M36" s="5">
        <v>0</v>
      </c>
      <c r="N36" s="5">
        <v>0</v>
      </c>
      <c r="O36" s="5">
        <v>4</v>
      </c>
      <c r="P36" s="5">
        <v>0</v>
      </c>
      <c r="Q36" s="5">
        <v>0</v>
      </c>
      <c r="R36" s="5">
        <v>21</v>
      </c>
      <c r="S36" s="5">
        <v>0</v>
      </c>
      <c r="T36" s="5">
        <v>44579</v>
      </c>
      <c r="U36" s="5">
        <v>68</v>
      </c>
      <c r="V36" s="5">
        <v>0</v>
      </c>
      <c r="W36" s="5">
        <v>309</v>
      </c>
      <c r="X36" s="5">
        <v>0</v>
      </c>
      <c r="Y36" s="5">
        <v>0</v>
      </c>
      <c r="Z36" s="5">
        <v>0</v>
      </c>
      <c r="AA36" s="8">
        <f>SUM(B36:Z36)</f>
        <v>98478</v>
      </c>
    </row>
    <row r="37" spans="1:27" x14ac:dyDescent="0.25">
      <c r="A37" s="5" t="s">
        <v>103</v>
      </c>
      <c r="B37" s="5">
        <v>33698</v>
      </c>
      <c r="C37" s="5">
        <v>5127</v>
      </c>
      <c r="D37" s="5">
        <v>274</v>
      </c>
      <c r="E37" s="5">
        <v>0</v>
      </c>
      <c r="F37" s="5">
        <v>6363</v>
      </c>
      <c r="G37" s="5">
        <v>754</v>
      </c>
      <c r="H37" s="5">
        <v>3480</v>
      </c>
      <c r="I37" s="5">
        <v>63</v>
      </c>
      <c r="J37" s="5">
        <v>0</v>
      </c>
      <c r="K37" s="5">
        <v>459</v>
      </c>
      <c r="L37" s="5">
        <v>1736</v>
      </c>
      <c r="M37" s="5">
        <v>0</v>
      </c>
      <c r="N37" s="5">
        <v>7583</v>
      </c>
      <c r="O37" s="5">
        <v>5</v>
      </c>
      <c r="P37" s="5">
        <v>208</v>
      </c>
      <c r="Q37" s="5">
        <v>3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71</v>
      </c>
      <c r="X37" s="5">
        <v>0</v>
      </c>
      <c r="Y37" s="5">
        <v>0</v>
      </c>
      <c r="Z37" s="5">
        <v>0</v>
      </c>
      <c r="AA37" s="8">
        <f>SUM(B37:Z37)</f>
        <v>59824</v>
      </c>
    </row>
    <row r="38" spans="1:27" x14ac:dyDescent="0.25">
      <c r="A38" s="5" t="s">
        <v>88</v>
      </c>
      <c r="B38" s="5">
        <v>32978</v>
      </c>
      <c r="C38" s="5">
        <v>9884</v>
      </c>
      <c r="D38" s="5">
        <v>0</v>
      </c>
      <c r="E38" s="5">
        <v>38</v>
      </c>
      <c r="F38" s="5">
        <v>6859</v>
      </c>
      <c r="G38" s="5">
        <v>283</v>
      </c>
      <c r="H38" s="5">
        <v>3857</v>
      </c>
      <c r="I38" s="5">
        <v>0</v>
      </c>
      <c r="J38" s="5">
        <v>0</v>
      </c>
      <c r="K38" s="5">
        <v>1163</v>
      </c>
      <c r="L38" s="5">
        <v>5995</v>
      </c>
      <c r="M38" s="5">
        <v>7</v>
      </c>
      <c r="N38" s="5">
        <v>0</v>
      </c>
      <c r="O38" s="5">
        <v>0</v>
      </c>
      <c r="P38" s="5">
        <v>1691</v>
      </c>
      <c r="Q38" s="5">
        <v>92</v>
      </c>
      <c r="R38" s="5">
        <v>0</v>
      </c>
      <c r="S38" s="5">
        <v>0</v>
      </c>
      <c r="T38" s="5">
        <v>584</v>
      </c>
      <c r="U38" s="5">
        <v>183</v>
      </c>
      <c r="V38" s="5">
        <v>0</v>
      </c>
      <c r="W38" s="5">
        <v>158</v>
      </c>
      <c r="X38" s="5">
        <v>0</v>
      </c>
      <c r="Y38" s="5">
        <v>0</v>
      </c>
      <c r="Z38" s="5">
        <v>0</v>
      </c>
      <c r="AA38" s="8">
        <f>SUM(B38:Z38)</f>
        <v>63772</v>
      </c>
    </row>
    <row r="39" spans="1:27" x14ac:dyDescent="0.25">
      <c r="A39" s="5" t="s">
        <v>92</v>
      </c>
      <c r="B39" s="5">
        <v>32827</v>
      </c>
      <c r="C39" s="5">
        <v>6531</v>
      </c>
      <c r="D39" s="5">
        <v>0</v>
      </c>
      <c r="E39" s="5">
        <v>0</v>
      </c>
      <c r="F39" s="5">
        <v>5325</v>
      </c>
      <c r="G39" s="5">
        <v>536</v>
      </c>
      <c r="H39" s="5">
        <v>3005</v>
      </c>
      <c r="I39" s="5">
        <v>84</v>
      </c>
      <c r="J39" s="5">
        <v>0</v>
      </c>
      <c r="K39" s="5">
        <v>2511</v>
      </c>
      <c r="L39" s="5">
        <v>8147</v>
      </c>
      <c r="M39" s="5">
        <v>0</v>
      </c>
      <c r="N39" s="5">
        <v>4223</v>
      </c>
      <c r="O39" s="5">
        <v>49</v>
      </c>
      <c r="P39" s="5">
        <v>1318</v>
      </c>
      <c r="Q39" s="5">
        <v>81</v>
      </c>
      <c r="R39" s="5">
        <v>15</v>
      </c>
      <c r="S39" s="5">
        <v>0</v>
      </c>
      <c r="T39" s="5">
        <v>0</v>
      </c>
      <c r="U39" s="5">
        <v>254</v>
      </c>
      <c r="V39" s="5">
        <v>0</v>
      </c>
      <c r="W39" s="5">
        <v>237</v>
      </c>
      <c r="X39" s="5">
        <v>0</v>
      </c>
      <c r="Y39" s="5">
        <v>0</v>
      </c>
      <c r="Z39" s="5">
        <v>0</v>
      </c>
      <c r="AA39" s="8">
        <f>SUM(B39:Z39)</f>
        <v>65143</v>
      </c>
    </row>
    <row r="40" spans="1:27" x14ac:dyDescent="0.25">
      <c r="A40" s="5" t="s">
        <v>122</v>
      </c>
      <c r="B40" s="5">
        <v>32694</v>
      </c>
      <c r="C40" s="5">
        <v>7077</v>
      </c>
      <c r="D40" s="5">
        <v>3505</v>
      </c>
      <c r="E40" s="5">
        <v>2221</v>
      </c>
      <c r="F40" s="5">
        <v>6161</v>
      </c>
      <c r="G40" s="5">
        <v>756</v>
      </c>
      <c r="H40" s="5">
        <v>3090</v>
      </c>
      <c r="I40" s="5">
        <v>61</v>
      </c>
      <c r="J40" s="5">
        <v>0</v>
      </c>
      <c r="K40" s="5">
        <v>555</v>
      </c>
      <c r="L40" s="5">
        <v>3685</v>
      </c>
      <c r="M40" s="5">
        <v>0</v>
      </c>
      <c r="N40" s="5">
        <v>6192</v>
      </c>
      <c r="O40" s="5">
        <v>11</v>
      </c>
      <c r="P40" s="5">
        <v>214</v>
      </c>
      <c r="Q40" s="5">
        <v>10</v>
      </c>
      <c r="R40" s="5">
        <v>0</v>
      </c>
      <c r="S40" s="5">
        <v>0</v>
      </c>
      <c r="T40" s="5">
        <v>0</v>
      </c>
      <c r="U40" s="5">
        <v>79</v>
      </c>
      <c r="V40" s="5">
        <v>0</v>
      </c>
      <c r="W40" s="5">
        <v>38</v>
      </c>
      <c r="X40" s="5">
        <v>0</v>
      </c>
      <c r="Y40" s="5">
        <v>0</v>
      </c>
      <c r="Z40" s="5">
        <v>0</v>
      </c>
      <c r="AA40" s="8">
        <f>SUM(B40:Z40)</f>
        <v>66349</v>
      </c>
    </row>
    <row r="41" spans="1:27" x14ac:dyDescent="0.25">
      <c r="A41" s="5" t="s">
        <v>281</v>
      </c>
      <c r="B41" s="5">
        <v>32496</v>
      </c>
      <c r="C41" s="5">
        <v>7350</v>
      </c>
      <c r="D41" s="5">
        <v>25466</v>
      </c>
      <c r="E41" s="5">
        <v>0</v>
      </c>
      <c r="F41" s="5">
        <v>3169</v>
      </c>
      <c r="G41" s="5">
        <v>876</v>
      </c>
      <c r="H41" s="5">
        <v>1207</v>
      </c>
      <c r="I41" s="5">
        <v>0</v>
      </c>
      <c r="J41" s="5">
        <v>0</v>
      </c>
      <c r="K41" s="5">
        <v>195</v>
      </c>
      <c r="L41" s="5">
        <v>954</v>
      </c>
      <c r="M41" s="5">
        <v>3</v>
      </c>
      <c r="N41" s="5">
        <v>0</v>
      </c>
      <c r="O41" s="5">
        <v>21</v>
      </c>
      <c r="P41" s="5">
        <v>105</v>
      </c>
      <c r="Q41" s="5">
        <v>1</v>
      </c>
      <c r="R41" s="5">
        <v>0</v>
      </c>
      <c r="S41" s="5">
        <v>0</v>
      </c>
      <c r="T41" s="5">
        <v>0</v>
      </c>
      <c r="U41" s="5">
        <v>137</v>
      </c>
      <c r="V41" s="5">
        <v>0</v>
      </c>
      <c r="W41" s="5">
        <v>46</v>
      </c>
      <c r="X41" s="5">
        <v>2</v>
      </c>
      <c r="Y41" s="5">
        <v>0</v>
      </c>
      <c r="Z41" s="5">
        <v>0</v>
      </c>
      <c r="AA41" s="8">
        <f>SUM(B41:Z41)</f>
        <v>72028</v>
      </c>
    </row>
    <row r="42" spans="1:27" x14ac:dyDescent="0.25">
      <c r="A42" s="5" t="s">
        <v>242</v>
      </c>
      <c r="B42" s="5">
        <v>31653</v>
      </c>
      <c r="C42" s="5">
        <v>5249</v>
      </c>
      <c r="D42" s="5">
        <v>435</v>
      </c>
      <c r="E42" s="5">
        <v>0</v>
      </c>
      <c r="F42" s="5">
        <v>8326</v>
      </c>
      <c r="G42" s="5">
        <v>268</v>
      </c>
      <c r="H42" s="5">
        <v>3633</v>
      </c>
      <c r="I42" s="5">
        <v>97</v>
      </c>
      <c r="J42" s="5">
        <v>0</v>
      </c>
      <c r="K42" s="5">
        <v>454</v>
      </c>
      <c r="L42" s="5">
        <v>2977</v>
      </c>
      <c r="M42" s="5">
        <v>5</v>
      </c>
      <c r="N42" s="5">
        <v>4699</v>
      </c>
      <c r="O42" s="5">
        <v>153</v>
      </c>
      <c r="P42" s="5">
        <v>747</v>
      </c>
      <c r="Q42" s="5">
        <v>7</v>
      </c>
      <c r="R42" s="5">
        <v>0</v>
      </c>
      <c r="S42" s="5">
        <v>0</v>
      </c>
      <c r="T42" s="5">
        <v>0</v>
      </c>
      <c r="U42" s="5">
        <v>13</v>
      </c>
      <c r="V42" s="5">
        <v>0</v>
      </c>
      <c r="W42" s="5">
        <v>131</v>
      </c>
      <c r="X42" s="5">
        <v>0</v>
      </c>
      <c r="Y42" s="5">
        <v>0</v>
      </c>
      <c r="Z42" s="5">
        <v>0</v>
      </c>
      <c r="AA42" s="8">
        <f>SUM(B42:Z42)</f>
        <v>58847</v>
      </c>
    </row>
    <row r="43" spans="1:27" x14ac:dyDescent="0.25">
      <c r="A43" s="5" t="s">
        <v>17</v>
      </c>
      <c r="B43" s="5">
        <v>31482</v>
      </c>
      <c r="C43" s="5">
        <v>14991</v>
      </c>
      <c r="D43" s="5">
        <v>0</v>
      </c>
      <c r="E43" s="5">
        <v>0</v>
      </c>
      <c r="F43" s="5">
        <v>4826</v>
      </c>
      <c r="G43" s="5">
        <v>243</v>
      </c>
      <c r="H43" s="5">
        <v>8164</v>
      </c>
      <c r="I43" s="5">
        <v>0</v>
      </c>
      <c r="J43" s="5">
        <v>0</v>
      </c>
      <c r="K43" s="5">
        <v>406</v>
      </c>
      <c r="L43" s="5">
        <v>2057</v>
      </c>
      <c r="M43" s="5">
        <v>0</v>
      </c>
      <c r="N43" s="5">
        <v>28354</v>
      </c>
      <c r="O43" s="5">
        <v>6</v>
      </c>
      <c r="P43" s="5">
        <v>16</v>
      </c>
      <c r="Q43" s="5">
        <v>2</v>
      </c>
      <c r="R43" s="5">
        <v>0</v>
      </c>
      <c r="S43" s="5">
        <v>0</v>
      </c>
      <c r="T43" s="5">
        <v>1259</v>
      </c>
      <c r="U43" s="5">
        <v>9</v>
      </c>
      <c r="V43" s="5">
        <v>0</v>
      </c>
      <c r="W43" s="5">
        <v>145</v>
      </c>
      <c r="X43" s="5">
        <v>0</v>
      </c>
      <c r="Y43" s="5">
        <v>0</v>
      </c>
      <c r="Z43" s="5">
        <v>0</v>
      </c>
      <c r="AA43" s="8">
        <f>SUM(B43:Z43)</f>
        <v>91960</v>
      </c>
    </row>
    <row r="44" spans="1:27" x14ac:dyDescent="0.25">
      <c r="A44" s="5" t="s">
        <v>119</v>
      </c>
      <c r="B44" s="5">
        <v>30633</v>
      </c>
      <c r="C44" s="5">
        <v>4573</v>
      </c>
      <c r="D44" s="5">
        <v>2506</v>
      </c>
      <c r="E44" s="5">
        <v>693</v>
      </c>
      <c r="F44" s="5">
        <v>11031</v>
      </c>
      <c r="G44" s="5">
        <v>1384</v>
      </c>
      <c r="H44" s="5">
        <v>1714</v>
      </c>
      <c r="I44" s="5">
        <v>0</v>
      </c>
      <c r="J44" s="5">
        <v>0</v>
      </c>
      <c r="K44" s="5">
        <v>365</v>
      </c>
      <c r="L44" s="5">
        <v>4021</v>
      </c>
      <c r="M44" s="5">
        <v>0</v>
      </c>
      <c r="N44" s="5">
        <v>0</v>
      </c>
      <c r="O44" s="5">
        <v>6</v>
      </c>
      <c r="P44" s="5">
        <v>700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91</v>
      </c>
      <c r="X44" s="5">
        <v>0</v>
      </c>
      <c r="Y44" s="5">
        <v>0</v>
      </c>
      <c r="Z44" s="5">
        <v>0</v>
      </c>
      <c r="AA44" s="8">
        <f>SUM(B44:Z44)</f>
        <v>57718</v>
      </c>
    </row>
    <row r="45" spans="1:27" x14ac:dyDescent="0.25">
      <c r="A45" s="5" t="s">
        <v>219</v>
      </c>
      <c r="B45" s="5">
        <v>30123</v>
      </c>
      <c r="C45" s="5">
        <v>3849</v>
      </c>
      <c r="D45" s="5">
        <v>17661</v>
      </c>
      <c r="E45" s="5">
        <v>0</v>
      </c>
      <c r="F45" s="5">
        <v>1856</v>
      </c>
      <c r="G45" s="5">
        <v>2917</v>
      </c>
      <c r="H45" s="5">
        <v>4522</v>
      </c>
      <c r="I45" s="5">
        <v>0</v>
      </c>
      <c r="J45" s="5">
        <v>0</v>
      </c>
      <c r="K45" s="5">
        <v>166</v>
      </c>
      <c r="L45" s="5">
        <v>851</v>
      </c>
      <c r="M45" s="5">
        <v>0</v>
      </c>
      <c r="N45" s="5">
        <v>0</v>
      </c>
      <c r="O45" s="5">
        <v>0</v>
      </c>
      <c r="P45" s="5">
        <v>1110</v>
      </c>
      <c r="Q45" s="5">
        <v>58</v>
      </c>
      <c r="R45" s="5">
        <v>0</v>
      </c>
      <c r="S45" s="5">
        <v>0</v>
      </c>
      <c r="T45" s="5">
        <v>0</v>
      </c>
      <c r="U45" s="5">
        <v>79</v>
      </c>
      <c r="V45" s="5">
        <v>0</v>
      </c>
      <c r="W45" s="5">
        <v>191</v>
      </c>
      <c r="X45" s="5">
        <v>0</v>
      </c>
      <c r="Y45" s="5">
        <v>0</v>
      </c>
      <c r="Z45" s="5">
        <v>0</v>
      </c>
      <c r="AA45" s="8">
        <f>SUM(B45:Z45)</f>
        <v>63383</v>
      </c>
    </row>
    <row r="46" spans="1:27" x14ac:dyDescent="0.25">
      <c r="A46" s="5" t="s">
        <v>262</v>
      </c>
      <c r="B46" s="5">
        <v>29816</v>
      </c>
      <c r="C46" s="5">
        <v>1650</v>
      </c>
      <c r="D46" s="5">
        <v>2503</v>
      </c>
      <c r="E46" s="5">
        <v>0</v>
      </c>
      <c r="F46" s="5">
        <v>907</v>
      </c>
      <c r="G46" s="5">
        <v>1829</v>
      </c>
      <c r="H46" s="5">
        <v>4059</v>
      </c>
      <c r="I46" s="5">
        <v>0</v>
      </c>
      <c r="J46" s="5">
        <v>0</v>
      </c>
      <c r="K46" s="5">
        <v>323</v>
      </c>
      <c r="L46" s="5">
        <v>2138</v>
      </c>
      <c r="M46" s="5">
        <v>0</v>
      </c>
      <c r="N46" s="5">
        <v>0</v>
      </c>
      <c r="O46" s="5">
        <v>0</v>
      </c>
      <c r="P46" s="5">
        <v>288</v>
      </c>
      <c r="Q46" s="5">
        <v>19</v>
      </c>
      <c r="R46" s="5">
        <v>0</v>
      </c>
      <c r="S46" s="5">
        <v>0</v>
      </c>
      <c r="T46" s="5">
        <v>0</v>
      </c>
      <c r="U46" s="5">
        <v>70</v>
      </c>
      <c r="V46" s="5">
        <v>0</v>
      </c>
      <c r="W46" s="5">
        <v>50</v>
      </c>
      <c r="X46" s="5">
        <v>0</v>
      </c>
      <c r="Y46" s="5">
        <v>0</v>
      </c>
      <c r="Z46" s="5">
        <v>0</v>
      </c>
      <c r="AA46" s="8">
        <f>SUM(B46:Z46)</f>
        <v>43652</v>
      </c>
    </row>
    <row r="47" spans="1:27" x14ac:dyDescent="0.25">
      <c r="A47" s="5" t="s">
        <v>133</v>
      </c>
      <c r="B47" s="5">
        <v>29648</v>
      </c>
      <c r="C47" s="5">
        <v>20977</v>
      </c>
      <c r="D47" s="5">
        <v>0</v>
      </c>
      <c r="E47" s="5">
        <v>307</v>
      </c>
      <c r="F47" s="5">
        <v>29640</v>
      </c>
      <c r="G47" s="5">
        <v>497</v>
      </c>
      <c r="H47" s="5">
        <v>3593</v>
      </c>
      <c r="I47" s="5">
        <v>0</v>
      </c>
      <c r="J47" s="5">
        <v>0</v>
      </c>
      <c r="K47" s="5">
        <v>817</v>
      </c>
      <c r="L47" s="5">
        <v>4787</v>
      </c>
      <c r="M47" s="5">
        <v>0</v>
      </c>
      <c r="N47" s="5">
        <v>0</v>
      </c>
      <c r="O47" s="5">
        <v>1</v>
      </c>
      <c r="P47" s="5">
        <v>33</v>
      </c>
      <c r="Q47" s="5">
        <v>2</v>
      </c>
      <c r="R47" s="5">
        <v>0</v>
      </c>
      <c r="S47" s="5">
        <v>0</v>
      </c>
      <c r="T47" s="5">
        <v>351</v>
      </c>
      <c r="U47" s="5">
        <v>93</v>
      </c>
      <c r="V47" s="5">
        <v>0</v>
      </c>
      <c r="W47" s="5">
        <v>492</v>
      </c>
      <c r="X47" s="5">
        <v>0</v>
      </c>
      <c r="Y47" s="5">
        <v>0</v>
      </c>
      <c r="Z47" s="5">
        <v>0</v>
      </c>
      <c r="AA47" s="8">
        <f>SUM(B47:Z47)</f>
        <v>91238</v>
      </c>
    </row>
    <row r="48" spans="1:27" x14ac:dyDescent="0.25">
      <c r="A48" s="5" t="s">
        <v>229</v>
      </c>
      <c r="B48" s="5">
        <v>29373</v>
      </c>
      <c r="C48" s="5">
        <v>1139</v>
      </c>
      <c r="D48" s="5">
        <v>0</v>
      </c>
      <c r="E48" s="5">
        <v>264</v>
      </c>
      <c r="F48" s="5">
        <v>881</v>
      </c>
      <c r="G48" s="5">
        <v>2343</v>
      </c>
      <c r="H48" s="5">
        <v>3763</v>
      </c>
      <c r="I48" s="5">
        <v>125</v>
      </c>
      <c r="J48" s="5">
        <v>0</v>
      </c>
      <c r="K48" s="5">
        <v>154</v>
      </c>
      <c r="L48" s="5">
        <v>492</v>
      </c>
      <c r="M48" s="5">
        <v>0</v>
      </c>
      <c r="N48" s="5">
        <v>0</v>
      </c>
      <c r="O48" s="5">
        <v>68</v>
      </c>
      <c r="P48" s="5">
        <v>506</v>
      </c>
      <c r="Q48" s="5">
        <v>28</v>
      </c>
      <c r="R48" s="5">
        <v>0</v>
      </c>
      <c r="S48" s="5">
        <v>0</v>
      </c>
      <c r="T48" s="5">
        <v>8</v>
      </c>
      <c r="U48" s="5">
        <v>86</v>
      </c>
      <c r="V48" s="5">
        <v>0</v>
      </c>
      <c r="W48" s="5">
        <v>165</v>
      </c>
      <c r="X48" s="5">
        <v>0</v>
      </c>
      <c r="Y48" s="5">
        <v>0</v>
      </c>
      <c r="Z48" s="5">
        <v>0</v>
      </c>
      <c r="AA48" s="8">
        <f>SUM(B48:Z48)</f>
        <v>39395</v>
      </c>
    </row>
    <row r="49" spans="1:27" x14ac:dyDescent="0.25">
      <c r="A49" s="5" t="s">
        <v>64</v>
      </c>
      <c r="B49" s="5">
        <v>29034</v>
      </c>
      <c r="C49" s="5">
        <v>2542</v>
      </c>
      <c r="D49" s="5">
        <v>0</v>
      </c>
      <c r="E49" s="5">
        <v>346</v>
      </c>
      <c r="F49" s="5">
        <v>2757</v>
      </c>
      <c r="G49" s="5">
        <v>472</v>
      </c>
      <c r="H49" s="5">
        <v>1736</v>
      </c>
      <c r="I49" s="5">
        <v>0</v>
      </c>
      <c r="J49" s="5">
        <v>0</v>
      </c>
      <c r="K49" s="5">
        <v>295</v>
      </c>
      <c r="L49" s="5">
        <v>1275</v>
      </c>
      <c r="M49" s="5">
        <v>0</v>
      </c>
      <c r="N49" s="5">
        <v>0</v>
      </c>
      <c r="O49" s="5">
        <v>0</v>
      </c>
      <c r="P49" s="5">
        <v>618</v>
      </c>
      <c r="Q49" s="5">
        <v>0</v>
      </c>
      <c r="R49" s="5">
        <v>0</v>
      </c>
      <c r="S49" s="5">
        <v>0</v>
      </c>
      <c r="T49" s="5">
        <v>0</v>
      </c>
      <c r="U49" s="5">
        <v>25</v>
      </c>
      <c r="V49" s="5">
        <v>0</v>
      </c>
      <c r="W49" s="5">
        <v>266</v>
      </c>
      <c r="X49" s="5">
        <v>0</v>
      </c>
      <c r="Y49" s="5">
        <v>0</v>
      </c>
      <c r="Z49" s="5">
        <v>0</v>
      </c>
      <c r="AA49" s="8">
        <f>SUM(B49:Z49)</f>
        <v>39366</v>
      </c>
    </row>
    <row r="50" spans="1:27" x14ac:dyDescent="0.25">
      <c r="A50" s="5" t="s">
        <v>246</v>
      </c>
      <c r="B50" s="5">
        <v>28722</v>
      </c>
      <c r="C50" s="5">
        <v>7981</v>
      </c>
      <c r="D50" s="5">
        <v>20179</v>
      </c>
      <c r="E50" s="5">
        <v>53</v>
      </c>
      <c r="F50" s="5">
        <v>4247</v>
      </c>
      <c r="G50" s="5">
        <v>885</v>
      </c>
      <c r="H50" s="5">
        <v>2769</v>
      </c>
      <c r="I50" s="5">
        <v>0</v>
      </c>
      <c r="J50" s="5">
        <v>0</v>
      </c>
      <c r="K50" s="5">
        <v>365</v>
      </c>
      <c r="L50" s="5">
        <v>4170</v>
      </c>
      <c r="M50" s="5">
        <v>0</v>
      </c>
      <c r="N50" s="5">
        <v>899</v>
      </c>
      <c r="O50" s="5">
        <v>12</v>
      </c>
      <c r="P50" s="5">
        <v>1059</v>
      </c>
      <c r="Q50" s="5">
        <v>1</v>
      </c>
      <c r="R50" s="5">
        <v>0</v>
      </c>
      <c r="S50" s="5">
        <v>0</v>
      </c>
      <c r="T50" s="5">
        <v>0</v>
      </c>
      <c r="U50" s="5">
        <v>31</v>
      </c>
      <c r="V50" s="5">
        <v>0</v>
      </c>
      <c r="W50" s="5">
        <v>82</v>
      </c>
      <c r="X50" s="5">
        <v>0</v>
      </c>
      <c r="Y50" s="5">
        <v>0</v>
      </c>
      <c r="Z50" s="5">
        <v>0</v>
      </c>
      <c r="AA50" s="8">
        <f>SUM(B50:Z50)</f>
        <v>71455</v>
      </c>
    </row>
    <row r="51" spans="1:27" x14ac:dyDescent="0.25">
      <c r="A51" s="5" t="s">
        <v>284</v>
      </c>
      <c r="B51" s="5">
        <v>28505</v>
      </c>
      <c r="C51" s="5">
        <v>6048</v>
      </c>
      <c r="D51" s="5">
        <v>5603</v>
      </c>
      <c r="E51" s="5">
        <v>0</v>
      </c>
      <c r="F51" s="5">
        <v>719</v>
      </c>
      <c r="G51" s="5">
        <v>575</v>
      </c>
      <c r="H51" s="5">
        <v>573</v>
      </c>
      <c r="I51" s="5">
        <v>0</v>
      </c>
      <c r="J51" s="5">
        <v>0</v>
      </c>
      <c r="K51" s="5">
        <v>251</v>
      </c>
      <c r="L51" s="5">
        <v>1158</v>
      </c>
      <c r="M51" s="5">
        <v>0</v>
      </c>
      <c r="N51" s="5">
        <v>0</v>
      </c>
      <c r="O51" s="5">
        <v>17</v>
      </c>
      <c r="P51" s="5">
        <v>47</v>
      </c>
      <c r="Q51" s="5">
        <v>12</v>
      </c>
      <c r="R51" s="5">
        <v>0</v>
      </c>
      <c r="S51" s="5">
        <v>0</v>
      </c>
      <c r="T51" s="5">
        <v>19493</v>
      </c>
      <c r="U51" s="5">
        <v>0</v>
      </c>
      <c r="V51" s="5">
        <v>0</v>
      </c>
      <c r="W51" s="5">
        <v>19</v>
      </c>
      <c r="X51" s="5">
        <v>0</v>
      </c>
      <c r="Y51" s="5">
        <v>0</v>
      </c>
      <c r="Z51" s="5">
        <v>0</v>
      </c>
      <c r="AA51" s="8">
        <f>SUM(B51:Z51)</f>
        <v>63020</v>
      </c>
    </row>
    <row r="52" spans="1:27" x14ac:dyDescent="0.25">
      <c r="A52" s="5" t="s">
        <v>99</v>
      </c>
      <c r="B52" s="5">
        <v>28045</v>
      </c>
      <c r="C52" s="5">
        <v>1424</v>
      </c>
      <c r="D52" s="5">
        <v>0</v>
      </c>
      <c r="E52" s="5">
        <v>0</v>
      </c>
      <c r="F52" s="5">
        <v>906</v>
      </c>
      <c r="G52" s="5">
        <v>1299</v>
      </c>
      <c r="H52" s="5">
        <v>2790</v>
      </c>
      <c r="I52" s="5">
        <v>0</v>
      </c>
      <c r="J52" s="5">
        <v>0</v>
      </c>
      <c r="K52" s="5">
        <v>535</v>
      </c>
      <c r="L52" s="5">
        <v>3609</v>
      </c>
      <c r="M52" s="5">
        <v>0</v>
      </c>
      <c r="N52" s="5">
        <v>34</v>
      </c>
      <c r="O52" s="5">
        <v>3</v>
      </c>
      <c r="P52" s="5">
        <v>7</v>
      </c>
      <c r="Q52" s="5">
        <v>0</v>
      </c>
      <c r="R52" s="5">
        <v>0</v>
      </c>
      <c r="S52" s="5">
        <v>0</v>
      </c>
      <c r="T52" s="5">
        <v>0</v>
      </c>
      <c r="U52" s="5">
        <v>125</v>
      </c>
      <c r="V52" s="5">
        <v>0</v>
      </c>
      <c r="W52" s="5">
        <v>230</v>
      </c>
      <c r="X52" s="5">
        <v>0</v>
      </c>
      <c r="Y52" s="5">
        <v>0</v>
      </c>
      <c r="Z52" s="5">
        <v>0</v>
      </c>
      <c r="AA52" s="8">
        <f>SUM(B52:Z52)</f>
        <v>39007</v>
      </c>
    </row>
    <row r="53" spans="1:27" x14ac:dyDescent="0.25">
      <c r="A53" s="5" t="s">
        <v>68</v>
      </c>
      <c r="B53" s="5">
        <v>26620</v>
      </c>
      <c r="C53" s="5">
        <v>669</v>
      </c>
      <c r="D53" s="5">
        <v>0</v>
      </c>
      <c r="E53" s="5">
        <v>0</v>
      </c>
      <c r="F53" s="5">
        <v>1381</v>
      </c>
      <c r="G53" s="5">
        <v>437</v>
      </c>
      <c r="H53" s="5">
        <v>1543</v>
      </c>
      <c r="I53" s="5">
        <v>0</v>
      </c>
      <c r="J53" s="5">
        <v>0</v>
      </c>
      <c r="K53" s="5">
        <v>339</v>
      </c>
      <c r="L53" s="5">
        <v>2022</v>
      </c>
      <c r="M53" s="5">
        <v>2</v>
      </c>
      <c r="N53" s="5">
        <v>0</v>
      </c>
      <c r="O53" s="5">
        <v>3</v>
      </c>
      <c r="P53" s="5">
        <v>364</v>
      </c>
      <c r="Q53" s="5">
        <v>7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179</v>
      </c>
      <c r="X53" s="5">
        <v>0</v>
      </c>
      <c r="Y53" s="5">
        <v>0</v>
      </c>
      <c r="Z53" s="5">
        <v>51</v>
      </c>
      <c r="AA53" s="8">
        <f>SUM(B53:Z53)</f>
        <v>33617</v>
      </c>
    </row>
    <row r="54" spans="1:27" x14ac:dyDescent="0.25">
      <c r="A54" s="5" t="s">
        <v>158</v>
      </c>
      <c r="B54" s="5">
        <v>26350</v>
      </c>
      <c r="C54" s="5">
        <v>1333</v>
      </c>
      <c r="D54" s="5">
        <v>0</v>
      </c>
      <c r="E54" s="5">
        <v>2835</v>
      </c>
      <c r="F54" s="5">
        <v>10442</v>
      </c>
      <c r="G54" s="5">
        <v>333</v>
      </c>
      <c r="H54" s="5">
        <v>3999</v>
      </c>
      <c r="I54" s="5">
        <v>0</v>
      </c>
      <c r="J54" s="5">
        <v>0</v>
      </c>
      <c r="K54" s="5">
        <v>402</v>
      </c>
      <c r="L54" s="5">
        <v>1218</v>
      </c>
      <c r="M54" s="5">
        <v>0</v>
      </c>
      <c r="N54" s="5">
        <v>0</v>
      </c>
      <c r="O54" s="5">
        <v>0</v>
      </c>
      <c r="P54" s="5">
        <v>498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158</v>
      </c>
      <c r="X54" s="5">
        <v>0</v>
      </c>
      <c r="Y54" s="5">
        <v>0</v>
      </c>
      <c r="Z54" s="5">
        <v>0</v>
      </c>
      <c r="AA54" s="8">
        <f>SUM(B54:Z54)</f>
        <v>47568</v>
      </c>
    </row>
    <row r="55" spans="1:27" x14ac:dyDescent="0.25">
      <c r="A55" s="5" t="s">
        <v>282</v>
      </c>
      <c r="B55" s="5">
        <v>24878</v>
      </c>
      <c r="C55" s="5">
        <v>2501</v>
      </c>
      <c r="D55" s="5">
        <v>0</v>
      </c>
      <c r="E55" s="5">
        <v>1248</v>
      </c>
      <c r="F55" s="5">
        <v>6265</v>
      </c>
      <c r="G55" s="5">
        <v>681</v>
      </c>
      <c r="H55" s="5">
        <v>2606</v>
      </c>
      <c r="I55" s="5">
        <v>0</v>
      </c>
      <c r="J55" s="5">
        <v>0</v>
      </c>
      <c r="K55" s="5">
        <v>168</v>
      </c>
      <c r="L55" s="5">
        <v>1443</v>
      </c>
      <c r="M55" s="5">
        <v>5</v>
      </c>
      <c r="N55" s="5">
        <v>0</v>
      </c>
      <c r="O55" s="5">
        <v>19</v>
      </c>
      <c r="P55" s="5">
        <v>496</v>
      </c>
      <c r="Q55" s="5">
        <v>15</v>
      </c>
      <c r="R55" s="5">
        <v>0</v>
      </c>
      <c r="S55" s="5">
        <v>0</v>
      </c>
      <c r="T55" s="5">
        <v>0</v>
      </c>
      <c r="U55" s="5">
        <v>107</v>
      </c>
      <c r="V55" s="5">
        <v>0</v>
      </c>
      <c r="W55" s="5">
        <v>1253</v>
      </c>
      <c r="X55" s="5">
        <v>0</v>
      </c>
      <c r="Y55" s="5">
        <v>0</v>
      </c>
      <c r="Z55" s="5">
        <v>0</v>
      </c>
      <c r="AA55" s="8">
        <f>SUM(B55:Z55)</f>
        <v>41685</v>
      </c>
    </row>
    <row r="56" spans="1:27" x14ac:dyDescent="0.25">
      <c r="A56" s="5" t="s">
        <v>287</v>
      </c>
      <c r="B56" s="5">
        <v>24364</v>
      </c>
      <c r="C56" s="5">
        <v>4248</v>
      </c>
      <c r="D56" s="5">
        <v>3911</v>
      </c>
      <c r="E56" s="5">
        <v>1395</v>
      </c>
      <c r="F56" s="5">
        <v>3588</v>
      </c>
      <c r="G56" s="5">
        <v>8462</v>
      </c>
      <c r="H56" s="5">
        <v>2824</v>
      </c>
      <c r="I56" s="5">
        <v>0</v>
      </c>
      <c r="J56" s="5">
        <v>0</v>
      </c>
      <c r="K56" s="5">
        <v>369</v>
      </c>
      <c r="L56" s="5">
        <v>3192</v>
      </c>
      <c r="M56" s="5">
        <v>0</v>
      </c>
      <c r="N56" s="5">
        <v>0</v>
      </c>
      <c r="O56" s="5">
        <v>3</v>
      </c>
      <c r="P56" s="5">
        <v>71</v>
      </c>
      <c r="Q56" s="5">
        <v>0</v>
      </c>
      <c r="R56" s="5">
        <v>0</v>
      </c>
      <c r="S56" s="5">
        <v>0</v>
      </c>
      <c r="T56" s="5">
        <v>0</v>
      </c>
      <c r="U56" s="5">
        <v>30</v>
      </c>
      <c r="V56" s="5">
        <v>0</v>
      </c>
      <c r="W56" s="5">
        <v>99</v>
      </c>
      <c r="X56" s="5">
        <v>0</v>
      </c>
      <c r="Y56" s="5">
        <v>0</v>
      </c>
      <c r="Z56" s="5">
        <v>0</v>
      </c>
      <c r="AA56" s="8">
        <f>SUM(B56:Z56)</f>
        <v>52556</v>
      </c>
    </row>
    <row r="57" spans="1:27" x14ac:dyDescent="0.25">
      <c r="A57" s="5" t="s">
        <v>164</v>
      </c>
      <c r="B57" s="5">
        <v>23875</v>
      </c>
      <c r="C57" s="5">
        <v>7143</v>
      </c>
      <c r="D57" s="5">
        <v>4577</v>
      </c>
      <c r="E57" s="5">
        <v>193</v>
      </c>
      <c r="F57" s="5">
        <v>19472</v>
      </c>
      <c r="G57" s="5">
        <v>399</v>
      </c>
      <c r="H57" s="5">
        <v>2066</v>
      </c>
      <c r="I57" s="5">
        <v>0</v>
      </c>
      <c r="J57" s="5">
        <v>0</v>
      </c>
      <c r="K57" s="5">
        <v>240</v>
      </c>
      <c r="L57" s="5">
        <v>1284</v>
      </c>
      <c r="M57" s="5">
        <v>0</v>
      </c>
      <c r="N57" s="5">
        <v>0</v>
      </c>
      <c r="O57" s="5">
        <v>0</v>
      </c>
      <c r="P57" s="5">
        <v>124</v>
      </c>
      <c r="Q57" s="5">
        <v>35</v>
      </c>
      <c r="R57" s="5">
        <v>0</v>
      </c>
      <c r="S57" s="5">
        <v>0</v>
      </c>
      <c r="T57" s="5">
        <v>0</v>
      </c>
      <c r="U57" s="5">
        <v>39</v>
      </c>
      <c r="V57" s="5">
        <v>0</v>
      </c>
      <c r="W57" s="5">
        <v>44</v>
      </c>
      <c r="X57" s="5">
        <v>0</v>
      </c>
      <c r="Y57" s="5">
        <v>0</v>
      </c>
      <c r="Z57" s="5">
        <v>0</v>
      </c>
      <c r="AA57" s="8">
        <f>SUM(B57:Z57)</f>
        <v>59491</v>
      </c>
    </row>
    <row r="58" spans="1:27" x14ac:dyDescent="0.25">
      <c r="A58" s="5" t="s">
        <v>245</v>
      </c>
      <c r="B58" s="5">
        <v>21328</v>
      </c>
      <c r="C58" s="5">
        <v>13026</v>
      </c>
      <c r="D58" s="5">
        <v>5731</v>
      </c>
      <c r="E58" s="5">
        <v>0</v>
      </c>
      <c r="F58" s="5">
        <v>5719</v>
      </c>
      <c r="G58" s="5">
        <v>434</v>
      </c>
      <c r="H58" s="5">
        <v>2903</v>
      </c>
      <c r="I58" s="5">
        <v>0</v>
      </c>
      <c r="J58" s="5">
        <v>0</v>
      </c>
      <c r="K58" s="5">
        <v>589</v>
      </c>
      <c r="L58" s="5">
        <v>3380</v>
      </c>
      <c r="M58" s="5">
        <v>0</v>
      </c>
      <c r="N58" s="5">
        <v>4431</v>
      </c>
      <c r="O58" s="5">
        <v>9</v>
      </c>
      <c r="P58" s="5">
        <v>207</v>
      </c>
      <c r="Q58" s="5">
        <v>0</v>
      </c>
      <c r="R58" s="5">
        <v>0</v>
      </c>
      <c r="S58" s="5">
        <v>0</v>
      </c>
      <c r="T58" s="5">
        <v>0</v>
      </c>
      <c r="U58" s="5">
        <v>3</v>
      </c>
      <c r="V58" s="5">
        <v>0</v>
      </c>
      <c r="W58" s="5">
        <v>92</v>
      </c>
      <c r="X58" s="5">
        <v>0</v>
      </c>
      <c r="Y58" s="5">
        <v>0</v>
      </c>
      <c r="Z58" s="5">
        <v>0</v>
      </c>
      <c r="AA58" s="8">
        <f>SUM(B58:Z58)</f>
        <v>57852</v>
      </c>
    </row>
    <row r="59" spans="1:27" x14ac:dyDescent="0.25">
      <c r="A59" s="5" t="s">
        <v>230</v>
      </c>
      <c r="B59" s="5">
        <v>21304</v>
      </c>
      <c r="C59" s="5">
        <v>13568</v>
      </c>
      <c r="D59" s="5">
        <v>11210</v>
      </c>
      <c r="E59" s="5">
        <v>685</v>
      </c>
      <c r="F59" s="5">
        <v>3718</v>
      </c>
      <c r="G59" s="5">
        <v>2589</v>
      </c>
      <c r="H59" s="5">
        <v>2612</v>
      </c>
      <c r="I59" s="5">
        <v>0</v>
      </c>
      <c r="J59" s="5">
        <v>0</v>
      </c>
      <c r="K59" s="5">
        <v>419</v>
      </c>
      <c r="L59" s="5">
        <v>1696</v>
      </c>
      <c r="M59" s="5">
        <v>54</v>
      </c>
      <c r="N59" s="5">
        <v>0</v>
      </c>
      <c r="O59" s="5">
        <v>0</v>
      </c>
      <c r="P59" s="5">
        <v>127</v>
      </c>
      <c r="Q59" s="5">
        <v>5</v>
      </c>
      <c r="R59" s="5">
        <v>0</v>
      </c>
      <c r="S59" s="5">
        <v>0</v>
      </c>
      <c r="T59" s="5">
        <v>0</v>
      </c>
      <c r="U59" s="5">
        <v>12</v>
      </c>
      <c r="V59" s="5">
        <v>0</v>
      </c>
      <c r="W59" s="5">
        <v>79</v>
      </c>
      <c r="X59" s="5">
        <v>0</v>
      </c>
      <c r="Y59" s="5">
        <v>0</v>
      </c>
      <c r="Z59" s="5">
        <v>0</v>
      </c>
      <c r="AA59" s="8">
        <f>SUM(B59:Z59)</f>
        <v>58078</v>
      </c>
    </row>
    <row r="60" spans="1:27" x14ac:dyDescent="0.25">
      <c r="A60" s="5" t="s">
        <v>218</v>
      </c>
      <c r="B60" s="5">
        <v>20498</v>
      </c>
      <c r="C60" s="5">
        <v>20165</v>
      </c>
      <c r="D60" s="5">
        <v>28212</v>
      </c>
      <c r="E60" s="5">
        <v>0</v>
      </c>
      <c r="F60" s="5">
        <v>27</v>
      </c>
      <c r="G60" s="5">
        <v>2489</v>
      </c>
      <c r="H60" s="5">
        <v>3600</v>
      </c>
      <c r="I60" s="5">
        <v>0</v>
      </c>
      <c r="J60" s="5">
        <v>0</v>
      </c>
      <c r="K60" s="5">
        <v>312</v>
      </c>
      <c r="L60" s="5">
        <v>1838</v>
      </c>
      <c r="M60" s="5">
        <v>0</v>
      </c>
      <c r="N60" s="5">
        <v>1</v>
      </c>
      <c r="O60" s="5">
        <v>0</v>
      </c>
      <c r="P60" s="5">
        <v>201</v>
      </c>
      <c r="Q60" s="5">
        <v>20</v>
      </c>
      <c r="R60" s="5">
        <v>0</v>
      </c>
      <c r="S60" s="5">
        <v>0</v>
      </c>
      <c r="T60" s="5">
        <v>0</v>
      </c>
      <c r="U60" s="5">
        <v>95</v>
      </c>
      <c r="V60" s="5">
        <v>0</v>
      </c>
      <c r="W60" s="5">
        <v>12</v>
      </c>
      <c r="X60" s="5">
        <v>0</v>
      </c>
      <c r="Y60" s="5">
        <v>0</v>
      </c>
      <c r="Z60" s="5">
        <v>0</v>
      </c>
      <c r="AA60" s="8">
        <f>SUM(B60:Z60)</f>
        <v>77470</v>
      </c>
    </row>
    <row r="61" spans="1:27" x14ac:dyDescent="0.25">
      <c r="A61" s="5" t="s">
        <v>277</v>
      </c>
      <c r="B61" s="5">
        <v>20146</v>
      </c>
      <c r="C61" s="5">
        <v>10203</v>
      </c>
      <c r="D61" s="5">
        <v>38341</v>
      </c>
      <c r="E61" s="5">
        <v>3734</v>
      </c>
      <c r="F61" s="5">
        <v>2583</v>
      </c>
      <c r="G61" s="5">
        <v>158</v>
      </c>
      <c r="H61" s="5">
        <v>3113</v>
      </c>
      <c r="I61" s="5">
        <v>0</v>
      </c>
      <c r="J61" s="5">
        <v>0</v>
      </c>
      <c r="K61" s="5">
        <v>259</v>
      </c>
      <c r="L61" s="5">
        <v>2649</v>
      </c>
      <c r="M61" s="5">
        <v>0</v>
      </c>
      <c r="N61" s="5">
        <v>0</v>
      </c>
      <c r="O61" s="5">
        <v>4</v>
      </c>
      <c r="P61" s="5">
        <v>76</v>
      </c>
      <c r="Q61" s="5">
        <v>31</v>
      </c>
      <c r="R61" s="5">
        <v>0</v>
      </c>
      <c r="S61" s="5">
        <v>0</v>
      </c>
      <c r="T61" s="5">
        <v>0</v>
      </c>
      <c r="U61" s="5">
        <v>83</v>
      </c>
      <c r="V61" s="5">
        <v>0</v>
      </c>
      <c r="W61" s="5">
        <v>41</v>
      </c>
      <c r="X61" s="5">
        <v>0</v>
      </c>
      <c r="Y61" s="5">
        <v>0</v>
      </c>
      <c r="Z61" s="5">
        <v>0</v>
      </c>
      <c r="AA61" s="8">
        <f>SUM(B61:Z61)</f>
        <v>81421</v>
      </c>
    </row>
    <row r="62" spans="1:27" x14ac:dyDescent="0.25">
      <c r="A62" s="5" t="s">
        <v>76</v>
      </c>
      <c r="B62" s="5">
        <v>19180</v>
      </c>
      <c r="C62" s="5">
        <v>546</v>
      </c>
      <c r="D62" s="5">
        <v>0</v>
      </c>
      <c r="E62" s="5">
        <v>0</v>
      </c>
      <c r="F62" s="5">
        <v>4193</v>
      </c>
      <c r="G62" s="5">
        <v>264</v>
      </c>
      <c r="H62" s="5">
        <v>3172</v>
      </c>
      <c r="I62" s="5">
        <v>929</v>
      </c>
      <c r="J62" s="5">
        <v>0</v>
      </c>
      <c r="K62" s="5">
        <v>288</v>
      </c>
      <c r="L62" s="5">
        <v>999</v>
      </c>
      <c r="M62" s="5">
        <v>0</v>
      </c>
      <c r="N62" s="5">
        <v>0</v>
      </c>
      <c r="O62" s="5">
        <v>1</v>
      </c>
      <c r="P62" s="5">
        <v>0</v>
      </c>
      <c r="Q62" s="5">
        <v>45</v>
      </c>
      <c r="R62" s="5">
        <v>0</v>
      </c>
      <c r="S62" s="5">
        <v>0</v>
      </c>
      <c r="T62" s="5">
        <v>0</v>
      </c>
      <c r="U62" s="5">
        <v>83</v>
      </c>
      <c r="V62" s="5">
        <v>0</v>
      </c>
      <c r="W62" s="5">
        <v>41</v>
      </c>
      <c r="X62" s="5">
        <v>0</v>
      </c>
      <c r="Y62" s="5">
        <v>0</v>
      </c>
      <c r="Z62" s="5">
        <v>0</v>
      </c>
      <c r="AA62" s="8">
        <f>SUM(B62:Z62)</f>
        <v>29741</v>
      </c>
    </row>
    <row r="63" spans="1:27" x14ac:dyDescent="0.25">
      <c r="A63" s="5" t="s">
        <v>50</v>
      </c>
      <c r="B63" s="5">
        <v>17823</v>
      </c>
      <c r="C63" s="5">
        <v>27000</v>
      </c>
      <c r="D63" s="5">
        <v>0</v>
      </c>
      <c r="E63" s="5">
        <v>2141</v>
      </c>
      <c r="F63" s="5">
        <v>21204</v>
      </c>
      <c r="G63" s="5">
        <v>299</v>
      </c>
      <c r="H63" s="5">
        <v>4641</v>
      </c>
      <c r="I63" s="5">
        <v>0</v>
      </c>
      <c r="J63" s="5">
        <v>0</v>
      </c>
      <c r="K63" s="5">
        <v>900</v>
      </c>
      <c r="L63" s="5">
        <v>9453</v>
      </c>
      <c r="M63" s="5">
        <v>0</v>
      </c>
      <c r="N63" s="5">
        <v>0</v>
      </c>
      <c r="O63" s="5">
        <v>19</v>
      </c>
      <c r="P63" s="5">
        <v>0</v>
      </c>
      <c r="Q63" s="5">
        <v>156</v>
      </c>
      <c r="R63" s="5">
        <v>0</v>
      </c>
      <c r="S63" s="5">
        <v>0</v>
      </c>
      <c r="T63" s="5">
        <v>585</v>
      </c>
      <c r="U63" s="5">
        <v>72</v>
      </c>
      <c r="V63" s="5">
        <v>0</v>
      </c>
      <c r="W63" s="5">
        <v>347</v>
      </c>
      <c r="X63" s="5">
        <v>0</v>
      </c>
      <c r="Y63" s="5">
        <v>0</v>
      </c>
      <c r="Z63" s="5">
        <v>0</v>
      </c>
      <c r="AA63" s="8">
        <f>SUM(B63:Z63)</f>
        <v>84640</v>
      </c>
    </row>
    <row r="64" spans="1:27" x14ac:dyDescent="0.25">
      <c r="A64" s="5" t="s">
        <v>143</v>
      </c>
      <c r="B64" s="5">
        <v>17763</v>
      </c>
      <c r="C64" s="5">
        <v>5145</v>
      </c>
      <c r="D64" s="5">
        <v>0</v>
      </c>
      <c r="E64" s="5">
        <v>165</v>
      </c>
      <c r="F64" s="5">
        <v>3298</v>
      </c>
      <c r="G64" s="5">
        <v>371</v>
      </c>
      <c r="H64" s="5">
        <v>1614</v>
      </c>
      <c r="I64" s="5">
        <v>6</v>
      </c>
      <c r="J64" s="5">
        <v>0</v>
      </c>
      <c r="K64" s="5">
        <v>511</v>
      </c>
      <c r="L64" s="5">
        <v>6417</v>
      </c>
      <c r="M64" s="5">
        <v>0</v>
      </c>
      <c r="N64" s="5">
        <v>0</v>
      </c>
      <c r="O64" s="5">
        <v>72</v>
      </c>
      <c r="P64" s="5">
        <v>196</v>
      </c>
      <c r="Q64" s="5">
        <v>0</v>
      </c>
      <c r="R64" s="5">
        <v>0</v>
      </c>
      <c r="S64" s="5">
        <v>0</v>
      </c>
      <c r="T64" s="5">
        <v>0</v>
      </c>
      <c r="U64" s="5">
        <v>79</v>
      </c>
      <c r="V64" s="5">
        <v>0</v>
      </c>
      <c r="W64" s="5">
        <v>32</v>
      </c>
      <c r="X64" s="5">
        <v>0</v>
      </c>
      <c r="Y64" s="5">
        <v>0</v>
      </c>
      <c r="Z64" s="5">
        <v>0</v>
      </c>
      <c r="AA64" s="8">
        <f>SUM(B64:Z64)</f>
        <v>35669</v>
      </c>
    </row>
    <row r="65" spans="1:27" x14ac:dyDescent="0.25">
      <c r="A65" s="5" t="s">
        <v>286</v>
      </c>
      <c r="B65" s="5">
        <v>17145</v>
      </c>
      <c r="C65" s="5">
        <v>14905</v>
      </c>
      <c r="D65" s="5">
        <v>78360</v>
      </c>
      <c r="E65" s="5">
        <v>74</v>
      </c>
      <c r="F65" s="5">
        <v>1965</v>
      </c>
      <c r="G65" s="5">
        <v>133</v>
      </c>
      <c r="H65" s="5">
        <v>1588</v>
      </c>
      <c r="I65" s="5">
        <v>0</v>
      </c>
      <c r="J65" s="5">
        <v>0</v>
      </c>
      <c r="K65" s="5">
        <v>274</v>
      </c>
      <c r="L65" s="5">
        <v>1736</v>
      </c>
      <c r="M65" s="5">
        <v>0</v>
      </c>
      <c r="N65" s="5">
        <v>0</v>
      </c>
      <c r="O65" s="5">
        <v>10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22</v>
      </c>
      <c r="V65" s="5">
        <v>0</v>
      </c>
      <c r="W65" s="5">
        <v>219</v>
      </c>
      <c r="X65" s="5">
        <v>0</v>
      </c>
      <c r="Y65" s="5">
        <v>0</v>
      </c>
      <c r="Z65" s="5">
        <v>0</v>
      </c>
      <c r="AA65" s="8">
        <f>SUM(B65:Z65)</f>
        <v>116431</v>
      </c>
    </row>
    <row r="66" spans="1:27" x14ac:dyDescent="0.25">
      <c r="A66" s="5" t="s">
        <v>206</v>
      </c>
      <c r="B66" s="5">
        <v>16997</v>
      </c>
      <c r="C66" s="5">
        <v>1693</v>
      </c>
      <c r="D66" s="5">
        <v>0</v>
      </c>
      <c r="E66" s="5">
        <v>0</v>
      </c>
      <c r="F66" s="5">
        <v>2940</v>
      </c>
      <c r="G66" s="5">
        <v>674</v>
      </c>
      <c r="H66" s="5">
        <v>6223</v>
      </c>
      <c r="I66" s="5">
        <v>0</v>
      </c>
      <c r="J66" s="5">
        <v>0</v>
      </c>
      <c r="K66" s="5">
        <v>194</v>
      </c>
      <c r="L66" s="5">
        <v>1940</v>
      </c>
      <c r="M66" s="5">
        <v>3</v>
      </c>
      <c r="N66" s="5">
        <v>0</v>
      </c>
      <c r="O66" s="5">
        <v>27</v>
      </c>
      <c r="P66" s="5">
        <v>107</v>
      </c>
      <c r="Q66" s="5">
        <v>26</v>
      </c>
      <c r="R66" s="5">
        <v>0</v>
      </c>
      <c r="S66" s="5">
        <v>0</v>
      </c>
      <c r="T66" s="5">
        <v>0</v>
      </c>
      <c r="U66" s="5">
        <v>38</v>
      </c>
      <c r="V66" s="5">
        <v>0</v>
      </c>
      <c r="W66" s="5">
        <v>11</v>
      </c>
      <c r="X66" s="5">
        <v>0</v>
      </c>
      <c r="Y66" s="5">
        <v>0</v>
      </c>
      <c r="Z66" s="5">
        <v>0</v>
      </c>
      <c r="AA66" s="8">
        <f>SUM(B66:Z66)</f>
        <v>30873</v>
      </c>
    </row>
    <row r="67" spans="1:27" x14ac:dyDescent="0.25">
      <c r="A67" s="5" t="s">
        <v>78</v>
      </c>
      <c r="B67" s="5">
        <v>16693</v>
      </c>
      <c r="C67" s="5">
        <v>1081</v>
      </c>
      <c r="D67" s="5">
        <v>0</v>
      </c>
      <c r="E67" s="5">
        <v>0</v>
      </c>
      <c r="F67" s="5">
        <v>3676</v>
      </c>
      <c r="G67" s="5">
        <v>203</v>
      </c>
      <c r="H67" s="5">
        <v>3767</v>
      </c>
      <c r="I67" s="5">
        <v>0</v>
      </c>
      <c r="J67" s="5">
        <v>0</v>
      </c>
      <c r="K67" s="5">
        <v>348</v>
      </c>
      <c r="L67" s="5">
        <v>1583</v>
      </c>
      <c r="M67" s="5">
        <v>0</v>
      </c>
      <c r="N67" s="5">
        <v>0</v>
      </c>
      <c r="O67" s="5">
        <v>0</v>
      </c>
      <c r="P67" s="5">
        <v>231</v>
      </c>
      <c r="Q67" s="5">
        <v>31</v>
      </c>
      <c r="R67" s="5">
        <v>0</v>
      </c>
      <c r="S67" s="5">
        <v>0</v>
      </c>
      <c r="T67" s="5">
        <v>0</v>
      </c>
      <c r="U67" s="5">
        <v>62</v>
      </c>
      <c r="V67" s="5">
        <v>0</v>
      </c>
      <c r="W67" s="5">
        <v>260</v>
      </c>
      <c r="X67" s="5">
        <v>0</v>
      </c>
      <c r="Y67" s="5">
        <v>0</v>
      </c>
      <c r="Z67" s="5">
        <v>0</v>
      </c>
      <c r="AA67" s="8">
        <f>SUM(B67:Z67)</f>
        <v>27935</v>
      </c>
    </row>
    <row r="68" spans="1:27" x14ac:dyDescent="0.25">
      <c r="A68" s="5" t="s">
        <v>125</v>
      </c>
      <c r="B68" s="5">
        <v>16403</v>
      </c>
      <c r="C68" s="5">
        <v>14595</v>
      </c>
      <c r="D68" s="5">
        <v>332</v>
      </c>
      <c r="E68" s="5">
        <v>2123</v>
      </c>
      <c r="F68" s="5">
        <v>13259</v>
      </c>
      <c r="G68" s="5">
        <v>434</v>
      </c>
      <c r="H68" s="5">
        <v>5498</v>
      </c>
      <c r="I68" s="5">
        <v>0</v>
      </c>
      <c r="J68" s="5">
        <v>0</v>
      </c>
      <c r="K68" s="5">
        <v>581</v>
      </c>
      <c r="L68" s="5">
        <v>1471</v>
      </c>
      <c r="M68" s="5">
        <v>0</v>
      </c>
      <c r="N68" s="5">
        <v>15760</v>
      </c>
      <c r="O68" s="5">
        <v>2</v>
      </c>
      <c r="P68" s="5">
        <v>889</v>
      </c>
      <c r="Q68" s="5">
        <v>2</v>
      </c>
      <c r="R68" s="5">
        <v>0</v>
      </c>
      <c r="S68" s="5">
        <v>0</v>
      </c>
      <c r="T68" s="5">
        <v>0</v>
      </c>
      <c r="U68" s="5">
        <v>77</v>
      </c>
      <c r="V68" s="5">
        <v>0</v>
      </c>
      <c r="W68" s="5">
        <v>127</v>
      </c>
      <c r="X68" s="5">
        <v>0</v>
      </c>
      <c r="Y68" s="5">
        <v>0</v>
      </c>
      <c r="Z68" s="5">
        <v>0</v>
      </c>
      <c r="AA68" s="8">
        <f>SUM(B68:Z68)</f>
        <v>71553</v>
      </c>
    </row>
    <row r="69" spans="1:27" x14ac:dyDescent="0.25">
      <c r="A69" s="5" t="s">
        <v>72</v>
      </c>
      <c r="B69" s="5">
        <v>16338</v>
      </c>
      <c r="C69" s="5">
        <v>2505</v>
      </c>
      <c r="D69" s="5">
        <v>0</v>
      </c>
      <c r="E69" s="5">
        <v>0</v>
      </c>
      <c r="F69" s="5">
        <v>5889</v>
      </c>
      <c r="G69" s="5">
        <v>390</v>
      </c>
      <c r="H69" s="5">
        <v>2661</v>
      </c>
      <c r="I69" s="5">
        <v>0</v>
      </c>
      <c r="J69" s="5">
        <v>0</v>
      </c>
      <c r="K69" s="5">
        <v>468</v>
      </c>
      <c r="L69" s="5">
        <v>3940</v>
      </c>
      <c r="M69" s="5">
        <v>0</v>
      </c>
      <c r="N69" s="5">
        <v>1016</v>
      </c>
      <c r="O69" s="5">
        <v>0</v>
      </c>
      <c r="P69" s="5">
        <v>420</v>
      </c>
      <c r="Q69" s="5">
        <v>34</v>
      </c>
      <c r="R69" s="5">
        <v>0</v>
      </c>
      <c r="S69" s="5">
        <v>0</v>
      </c>
      <c r="T69" s="5">
        <v>0</v>
      </c>
      <c r="U69" s="5">
        <v>79</v>
      </c>
      <c r="V69" s="5">
        <v>0</v>
      </c>
      <c r="W69" s="5">
        <v>71</v>
      </c>
      <c r="X69" s="5">
        <v>0</v>
      </c>
      <c r="Y69" s="5">
        <v>0</v>
      </c>
      <c r="Z69" s="5">
        <v>0</v>
      </c>
      <c r="AA69" s="8">
        <f>SUM(B69:Z69)</f>
        <v>33811</v>
      </c>
    </row>
    <row r="70" spans="1:27" x14ac:dyDescent="0.25">
      <c r="A70" s="5" t="s">
        <v>104</v>
      </c>
      <c r="B70" s="5">
        <v>15467</v>
      </c>
      <c r="C70" s="5">
        <v>2641</v>
      </c>
      <c r="D70" s="5">
        <v>0</v>
      </c>
      <c r="E70" s="5">
        <v>0</v>
      </c>
      <c r="F70" s="5">
        <v>0</v>
      </c>
      <c r="G70" s="5">
        <v>632</v>
      </c>
      <c r="H70" s="5">
        <v>2025</v>
      </c>
      <c r="I70" s="5">
        <v>0</v>
      </c>
      <c r="J70" s="5">
        <v>0</v>
      </c>
      <c r="K70" s="5">
        <v>85</v>
      </c>
      <c r="L70" s="5">
        <v>465</v>
      </c>
      <c r="M70" s="5">
        <v>0</v>
      </c>
      <c r="N70" s="5">
        <v>15292</v>
      </c>
      <c r="O70" s="5">
        <v>82</v>
      </c>
      <c r="P70" s="5">
        <v>0</v>
      </c>
      <c r="Q70" s="5">
        <v>11</v>
      </c>
      <c r="R70" s="5">
        <v>0</v>
      </c>
      <c r="S70" s="5">
        <v>0</v>
      </c>
      <c r="T70" s="5">
        <v>0</v>
      </c>
      <c r="U70" s="5">
        <v>14</v>
      </c>
      <c r="V70" s="5">
        <v>0</v>
      </c>
      <c r="W70" s="5">
        <v>245</v>
      </c>
      <c r="X70" s="5">
        <v>0</v>
      </c>
      <c r="Y70" s="5">
        <v>0</v>
      </c>
      <c r="Z70" s="5">
        <v>0</v>
      </c>
      <c r="AA70" s="8">
        <f>SUM(B70:Z70)</f>
        <v>36959</v>
      </c>
    </row>
    <row r="71" spans="1:27" x14ac:dyDescent="0.25">
      <c r="A71" s="5" t="s">
        <v>124</v>
      </c>
      <c r="B71" s="5">
        <v>15424</v>
      </c>
      <c r="C71" s="5">
        <v>2570</v>
      </c>
      <c r="D71" s="5">
        <v>0</v>
      </c>
      <c r="E71" s="5">
        <v>746</v>
      </c>
      <c r="F71" s="5">
        <v>21463</v>
      </c>
      <c r="G71" s="5">
        <v>674</v>
      </c>
      <c r="H71" s="5">
        <v>4106</v>
      </c>
      <c r="I71" s="5">
        <v>0</v>
      </c>
      <c r="J71" s="5">
        <v>0</v>
      </c>
      <c r="K71" s="5">
        <v>409</v>
      </c>
      <c r="L71" s="5">
        <v>2112</v>
      </c>
      <c r="M71" s="5">
        <v>0</v>
      </c>
      <c r="N71" s="5">
        <v>0</v>
      </c>
      <c r="O71" s="5">
        <v>13</v>
      </c>
      <c r="P71" s="5">
        <v>71</v>
      </c>
      <c r="Q71" s="5">
        <v>24</v>
      </c>
      <c r="R71" s="5">
        <v>0</v>
      </c>
      <c r="S71" s="5">
        <v>0</v>
      </c>
      <c r="T71" s="5">
        <v>0</v>
      </c>
      <c r="U71" s="5">
        <v>9</v>
      </c>
      <c r="V71" s="5">
        <v>0</v>
      </c>
      <c r="W71" s="5">
        <v>5</v>
      </c>
      <c r="X71" s="5">
        <v>0</v>
      </c>
      <c r="Y71" s="5">
        <v>0</v>
      </c>
      <c r="Z71" s="5">
        <v>0</v>
      </c>
      <c r="AA71" s="8">
        <f>SUM(B71:Z71)</f>
        <v>47626</v>
      </c>
    </row>
    <row r="72" spans="1:27" x14ac:dyDescent="0.25">
      <c r="A72" s="5" t="s">
        <v>220</v>
      </c>
      <c r="B72" s="5">
        <v>15100</v>
      </c>
      <c r="C72" s="5">
        <v>838</v>
      </c>
      <c r="D72" s="5">
        <v>0</v>
      </c>
      <c r="E72" s="5">
        <v>0</v>
      </c>
      <c r="F72" s="5">
        <v>1243</v>
      </c>
      <c r="G72" s="5">
        <v>1252</v>
      </c>
      <c r="H72" s="5">
        <v>3238</v>
      </c>
      <c r="I72" s="5">
        <v>0</v>
      </c>
      <c r="J72" s="5">
        <v>0</v>
      </c>
      <c r="K72" s="5">
        <v>46</v>
      </c>
      <c r="L72" s="5">
        <v>395</v>
      </c>
      <c r="M72" s="5">
        <v>0</v>
      </c>
      <c r="N72" s="5">
        <v>0</v>
      </c>
      <c r="O72" s="5">
        <v>0</v>
      </c>
      <c r="P72" s="5">
        <v>14</v>
      </c>
      <c r="Q72" s="5">
        <v>43</v>
      </c>
      <c r="R72" s="5">
        <v>23</v>
      </c>
      <c r="S72" s="5">
        <v>0</v>
      </c>
      <c r="T72" s="5">
        <v>0</v>
      </c>
      <c r="U72" s="5">
        <v>41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8">
        <f>SUM(B72:Z72)</f>
        <v>22233</v>
      </c>
    </row>
    <row r="73" spans="1:27" x14ac:dyDescent="0.25">
      <c r="A73" s="5" t="s">
        <v>136</v>
      </c>
      <c r="B73" s="5">
        <v>15025</v>
      </c>
      <c r="C73" s="5">
        <v>3484</v>
      </c>
      <c r="D73" s="5">
        <v>0</v>
      </c>
      <c r="E73" s="5">
        <v>0</v>
      </c>
      <c r="F73" s="5">
        <v>37180</v>
      </c>
      <c r="G73" s="5">
        <v>371</v>
      </c>
      <c r="H73" s="5">
        <v>2976</v>
      </c>
      <c r="I73" s="5">
        <v>0</v>
      </c>
      <c r="J73" s="5">
        <v>0</v>
      </c>
      <c r="K73" s="5">
        <v>312</v>
      </c>
      <c r="L73" s="5">
        <v>1535</v>
      </c>
      <c r="M73" s="5">
        <v>0</v>
      </c>
      <c r="N73" s="5">
        <v>0</v>
      </c>
      <c r="O73" s="5">
        <v>5</v>
      </c>
      <c r="P73" s="5">
        <v>189</v>
      </c>
      <c r="Q73" s="5">
        <v>31</v>
      </c>
      <c r="R73" s="5">
        <v>0</v>
      </c>
      <c r="S73" s="5">
        <v>0</v>
      </c>
      <c r="T73" s="5">
        <v>0</v>
      </c>
      <c r="U73" s="5">
        <v>48</v>
      </c>
      <c r="V73" s="5">
        <v>0</v>
      </c>
      <c r="W73" s="5">
        <v>3</v>
      </c>
      <c r="X73" s="5">
        <v>0</v>
      </c>
      <c r="Y73" s="5">
        <v>0</v>
      </c>
      <c r="Z73" s="5">
        <v>0</v>
      </c>
      <c r="AA73" s="8">
        <f>SUM(B73:Z73)</f>
        <v>61159</v>
      </c>
    </row>
    <row r="74" spans="1:27" x14ac:dyDescent="0.25">
      <c r="A74" s="5" t="s">
        <v>37</v>
      </c>
      <c r="B74" s="5">
        <v>14490</v>
      </c>
      <c r="C74" s="5">
        <v>8904</v>
      </c>
      <c r="D74" s="5">
        <v>30201</v>
      </c>
      <c r="E74" s="5">
        <v>0</v>
      </c>
      <c r="F74" s="5">
        <v>0</v>
      </c>
      <c r="G74" s="5">
        <v>335</v>
      </c>
      <c r="H74" s="5">
        <v>1495</v>
      </c>
      <c r="I74" s="5">
        <v>0</v>
      </c>
      <c r="J74" s="5">
        <v>0</v>
      </c>
      <c r="K74" s="5">
        <v>362</v>
      </c>
      <c r="L74" s="5">
        <v>1051</v>
      </c>
      <c r="M74" s="5">
        <v>0</v>
      </c>
      <c r="N74" s="5">
        <v>1462</v>
      </c>
      <c r="O74" s="5">
        <v>0</v>
      </c>
      <c r="P74" s="5">
        <v>60</v>
      </c>
      <c r="Q74" s="5">
        <v>8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78</v>
      </c>
      <c r="X74" s="5">
        <v>0</v>
      </c>
      <c r="Y74" s="5">
        <v>0</v>
      </c>
      <c r="Z74" s="5">
        <v>0</v>
      </c>
      <c r="AA74" s="8">
        <f>SUM(B74:Z74)</f>
        <v>58446</v>
      </c>
    </row>
    <row r="75" spans="1:27" x14ac:dyDescent="0.25">
      <c r="A75" s="5" t="s">
        <v>134</v>
      </c>
      <c r="B75" s="5">
        <v>13765</v>
      </c>
      <c r="C75" s="5">
        <v>25659</v>
      </c>
      <c r="D75" s="5">
        <v>0</v>
      </c>
      <c r="E75" s="5">
        <v>378</v>
      </c>
      <c r="F75" s="5">
        <v>37276</v>
      </c>
      <c r="G75" s="5">
        <v>89</v>
      </c>
      <c r="H75" s="5">
        <v>2802</v>
      </c>
      <c r="I75" s="5">
        <v>0</v>
      </c>
      <c r="J75" s="5">
        <v>0</v>
      </c>
      <c r="K75" s="5">
        <v>405</v>
      </c>
      <c r="L75" s="5">
        <v>3102</v>
      </c>
      <c r="M75" s="5">
        <v>0</v>
      </c>
      <c r="N75" s="5">
        <v>6199</v>
      </c>
      <c r="O75" s="5">
        <v>3</v>
      </c>
      <c r="P75" s="5">
        <v>412</v>
      </c>
      <c r="Q75" s="5">
        <v>0</v>
      </c>
      <c r="R75" s="5">
        <v>0</v>
      </c>
      <c r="S75" s="5">
        <v>0</v>
      </c>
      <c r="T75" s="5">
        <v>0</v>
      </c>
      <c r="U75" s="5">
        <v>12</v>
      </c>
      <c r="V75" s="5">
        <v>0</v>
      </c>
      <c r="W75" s="5">
        <v>55</v>
      </c>
      <c r="X75" s="5">
        <v>0</v>
      </c>
      <c r="Y75" s="5">
        <v>0</v>
      </c>
      <c r="Z75" s="5">
        <v>0</v>
      </c>
      <c r="AA75" s="8">
        <f>SUM(B75:Z75)</f>
        <v>90157</v>
      </c>
    </row>
    <row r="76" spans="1:27" x14ac:dyDescent="0.25">
      <c r="A76" s="5" t="s">
        <v>74</v>
      </c>
      <c r="B76" s="5">
        <v>13155</v>
      </c>
      <c r="C76" s="5">
        <v>2675</v>
      </c>
      <c r="D76" s="5">
        <v>0</v>
      </c>
      <c r="E76" s="5">
        <v>0</v>
      </c>
      <c r="F76" s="5">
        <v>4996</v>
      </c>
      <c r="G76" s="5">
        <v>211</v>
      </c>
      <c r="H76" s="5">
        <v>3862</v>
      </c>
      <c r="I76" s="5">
        <v>0</v>
      </c>
      <c r="J76" s="5">
        <v>0</v>
      </c>
      <c r="K76" s="5">
        <v>245</v>
      </c>
      <c r="L76" s="5">
        <v>2360</v>
      </c>
      <c r="M76" s="5">
        <v>0</v>
      </c>
      <c r="N76" s="5">
        <v>0</v>
      </c>
      <c r="O76" s="5">
        <v>4</v>
      </c>
      <c r="P76" s="5">
        <v>32</v>
      </c>
      <c r="Q76" s="5">
        <v>7</v>
      </c>
      <c r="R76" s="5">
        <v>27</v>
      </c>
      <c r="S76" s="5">
        <v>0</v>
      </c>
      <c r="T76" s="5">
        <v>0</v>
      </c>
      <c r="U76" s="5">
        <v>18</v>
      </c>
      <c r="V76" s="5">
        <v>0</v>
      </c>
      <c r="W76" s="5">
        <v>316</v>
      </c>
      <c r="X76" s="5">
        <v>0</v>
      </c>
      <c r="Y76" s="5">
        <v>0</v>
      </c>
      <c r="Z76" s="5">
        <v>0</v>
      </c>
      <c r="AA76" s="8">
        <f>SUM(B76:Z76)</f>
        <v>27908</v>
      </c>
    </row>
    <row r="77" spans="1:27" x14ac:dyDescent="0.25">
      <c r="A77" s="5" t="s">
        <v>3</v>
      </c>
      <c r="B77" s="5">
        <v>12595</v>
      </c>
      <c r="C77" s="5">
        <v>1403</v>
      </c>
      <c r="D77" s="5">
        <v>0</v>
      </c>
      <c r="E77" s="5">
        <v>0</v>
      </c>
      <c r="F77" s="5">
        <v>2181</v>
      </c>
      <c r="G77" s="5">
        <v>46</v>
      </c>
      <c r="H77" s="5">
        <v>2706</v>
      </c>
      <c r="I77" s="5">
        <v>0</v>
      </c>
      <c r="J77" s="5">
        <v>0</v>
      </c>
      <c r="K77" s="5">
        <v>201</v>
      </c>
      <c r="L77" s="5">
        <v>567</v>
      </c>
      <c r="M77" s="5">
        <v>0</v>
      </c>
      <c r="N77" s="5">
        <v>0</v>
      </c>
      <c r="O77" s="5">
        <v>0</v>
      </c>
      <c r="P77" s="5">
        <v>1</v>
      </c>
      <c r="Q77" s="5">
        <v>43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4</v>
      </c>
      <c r="X77" s="5">
        <v>0</v>
      </c>
      <c r="Y77" s="5">
        <v>0</v>
      </c>
      <c r="Z77" s="5">
        <v>0</v>
      </c>
      <c r="AA77" s="8">
        <f>SUM(B77:Z77)</f>
        <v>19747</v>
      </c>
    </row>
    <row r="78" spans="1:27" x14ac:dyDescent="0.25">
      <c r="A78" s="5" t="s">
        <v>131</v>
      </c>
      <c r="B78" s="5">
        <v>12588</v>
      </c>
      <c r="C78" s="5">
        <v>31780</v>
      </c>
      <c r="D78" s="5">
        <v>0</v>
      </c>
      <c r="E78" s="5">
        <v>191</v>
      </c>
      <c r="F78" s="5">
        <v>16121</v>
      </c>
      <c r="G78" s="5">
        <v>11</v>
      </c>
      <c r="H78" s="5">
        <v>1559</v>
      </c>
      <c r="I78" s="5">
        <v>0</v>
      </c>
      <c r="J78" s="5">
        <v>0</v>
      </c>
      <c r="K78" s="5">
        <v>296</v>
      </c>
      <c r="L78" s="5">
        <v>1729</v>
      </c>
      <c r="M78" s="5">
        <v>0</v>
      </c>
      <c r="N78" s="5">
        <v>535</v>
      </c>
      <c r="O78" s="5">
        <v>20</v>
      </c>
      <c r="P78" s="5">
        <v>188</v>
      </c>
      <c r="Q78" s="5">
        <v>1</v>
      </c>
      <c r="R78" s="5">
        <v>0</v>
      </c>
      <c r="S78" s="5">
        <v>0</v>
      </c>
      <c r="T78" s="5">
        <v>0</v>
      </c>
      <c r="U78" s="5">
        <v>18</v>
      </c>
      <c r="V78" s="5">
        <v>0</v>
      </c>
      <c r="W78" s="5">
        <v>86</v>
      </c>
      <c r="X78" s="5">
        <v>0</v>
      </c>
      <c r="Y78" s="5">
        <v>0</v>
      </c>
      <c r="Z78" s="5">
        <v>0</v>
      </c>
      <c r="AA78" s="8">
        <f>SUM(B78:Z78)</f>
        <v>65123</v>
      </c>
    </row>
    <row r="79" spans="1:27" x14ac:dyDescent="0.25">
      <c r="A79" s="5" t="s">
        <v>289</v>
      </c>
      <c r="B79" s="5">
        <v>12578</v>
      </c>
      <c r="C79" s="5">
        <v>7525</v>
      </c>
      <c r="D79" s="5">
        <v>17945</v>
      </c>
      <c r="E79" s="5">
        <v>0</v>
      </c>
      <c r="F79" s="5">
        <v>1014</v>
      </c>
      <c r="G79" s="5">
        <v>205</v>
      </c>
      <c r="H79" s="5">
        <v>2299</v>
      </c>
      <c r="I79" s="5">
        <v>0</v>
      </c>
      <c r="J79" s="5">
        <v>0</v>
      </c>
      <c r="K79" s="5">
        <v>316</v>
      </c>
      <c r="L79" s="5">
        <v>3786</v>
      </c>
      <c r="M79" s="5">
        <v>7</v>
      </c>
      <c r="N79" s="5">
        <v>0</v>
      </c>
      <c r="O79" s="5">
        <v>129</v>
      </c>
      <c r="P79" s="5">
        <v>167</v>
      </c>
      <c r="Q79" s="5">
        <v>6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71</v>
      </c>
      <c r="X79" s="5">
        <v>0</v>
      </c>
      <c r="Y79" s="5">
        <v>0</v>
      </c>
      <c r="Z79" s="5">
        <v>0</v>
      </c>
      <c r="AA79" s="8">
        <f>SUM(B79:Z79)</f>
        <v>46048</v>
      </c>
    </row>
    <row r="80" spans="1:27" x14ac:dyDescent="0.25">
      <c r="A80" s="5" t="s">
        <v>34</v>
      </c>
      <c r="B80" s="5">
        <v>12506</v>
      </c>
      <c r="C80" s="5">
        <v>20661</v>
      </c>
      <c r="D80" s="5">
        <v>15948</v>
      </c>
      <c r="E80" s="5">
        <v>0</v>
      </c>
      <c r="F80" s="5">
        <v>0</v>
      </c>
      <c r="G80" s="5">
        <v>201</v>
      </c>
      <c r="H80" s="5">
        <v>1159</v>
      </c>
      <c r="I80" s="5">
        <v>0</v>
      </c>
      <c r="J80" s="5">
        <v>0</v>
      </c>
      <c r="K80" s="5">
        <v>381</v>
      </c>
      <c r="L80" s="5">
        <v>1445</v>
      </c>
      <c r="M80" s="5">
        <v>0</v>
      </c>
      <c r="N80" s="5">
        <v>259</v>
      </c>
      <c r="O80" s="5">
        <v>1</v>
      </c>
      <c r="P80" s="5">
        <v>23</v>
      </c>
      <c r="Q80" s="5">
        <v>0</v>
      </c>
      <c r="R80" s="5">
        <v>0</v>
      </c>
      <c r="S80" s="5">
        <v>0</v>
      </c>
      <c r="T80" s="5">
        <v>1627</v>
      </c>
      <c r="U80" s="5">
        <v>123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8">
        <f>SUM(B80:Z80)</f>
        <v>54334</v>
      </c>
    </row>
    <row r="81" spans="1:27" x14ac:dyDescent="0.25">
      <c r="A81" s="5" t="s">
        <v>204</v>
      </c>
      <c r="B81" s="5">
        <v>12344</v>
      </c>
      <c r="C81" s="5">
        <v>5986</v>
      </c>
      <c r="D81" s="5">
        <v>13968</v>
      </c>
      <c r="E81" s="5">
        <v>0</v>
      </c>
      <c r="F81" s="5">
        <v>586</v>
      </c>
      <c r="G81" s="5">
        <v>540</v>
      </c>
      <c r="H81" s="5">
        <v>3735</v>
      </c>
      <c r="I81" s="5">
        <v>0</v>
      </c>
      <c r="J81" s="5">
        <v>0</v>
      </c>
      <c r="K81" s="5">
        <v>95</v>
      </c>
      <c r="L81" s="5">
        <v>494</v>
      </c>
      <c r="M81" s="5">
        <v>0</v>
      </c>
      <c r="N81" s="5">
        <v>0</v>
      </c>
      <c r="O81" s="5">
        <v>9</v>
      </c>
      <c r="P81" s="5">
        <v>64</v>
      </c>
      <c r="Q81" s="5">
        <v>3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96</v>
      </c>
      <c r="X81" s="5">
        <v>0</v>
      </c>
      <c r="Y81" s="5">
        <v>0</v>
      </c>
      <c r="Z81" s="5">
        <v>0</v>
      </c>
      <c r="AA81" s="8">
        <f>SUM(B81:Z81)</f>
        <v>37920</v>
      </c>
    </row>
    <row r="82" spans="1:27" x14ac:dyDescent="0.25">
      <c r="A82" s="5" t="s">
        <v>149</v>
      </c>
      <c r="B82" s="5">
        <v>12272</v>
      </c>
      <c r="C82" s="5">
        <v>8308</v>
      </c>
      <c r="D82" s="5">
        <v>0</v>
      </c>
      <c r="E82" s="5">
        <v>0</v>
      </c>
      <c r="F82" s="5">
        <v>13835</v>
      </c>
      <c r="G82" s="5">
        <v>340</v>
      </c>
      <c r="H82" s="5">
        <v>2466</v>
      </c>
      <c r="I82" s="5">
        <v>0</v>
      </c>
      <c r="J82" s="5">
        <v>0</v>
      </c>
      <c r="K82" s="5">
        <v>76</v>
      </c>
      <c r="L82" s="5">
        <v>572</v>
      </c>
      <c r="M82" s="5">
        <v>0</v>
      </c>
      <c r="N82" s="5">
        <v>9463</v>
      </c>
      <c r="O82" s="5">
        <v>40</v>
      </c>
      <c r="P82" s="5">
        <v>148</v>
      </c>
      <c r="Q82" s="5">
        <v>0</v>
      </c>
      <c r="R82" s="5">
        <v>0</v>
      </c>
      <c r="S82" s="5">
        <v>0</v>
      </c>
      <c r="T82" s="5">
        <v>0</v>
      </c>
      <c r="U82" s="5">
        <v>16</v>
      </c>
      <c r="V82" s="5">
        <v>0</v>
      </c>
      <c r="W82" s="5">
        <v>31</v>
      </c>
      <c r="X82" s="5">
        <v>0</v>
      </c>
      <c r="Y82" s="5">
        <v>0</v>
      </c>
      <c r="Z82" s="5">
        <v>0</v>
      </c>
      <c r="AA82" s="8">
        <f>SUM(B82:Z82)</f>
        <v>47567</v>
      </c>
    </row>
    <row r="83" spans="1:27" x14ac:dyDescent="0.25">
      <c r="A83" s="5" t="s">
        <v>290</v>
      </c>
      <c r="B83" s="5">
        <v>12116</v>
      </c>
      <c r="C83" s="5">
        <v>5174</v>
      </c>
      <c r="D83" s="5">
        <v>12008</v>
      </c>
      <c r="E83" s="5">
        <v>470</v>
      </c>
      <c r="F83" s="5">
        <v>1178</v>
      </c>
      <c r="G83" s="5">
        <v>189</v>
      </c>
      <c r="H83" s="5">
        <v>2134</v>
      </c>
      <c r="I83" s="5">
        <v>101</v>
      </c>
      <c r="J83" s="5">
        <v>0</v>
      </c>
      <c r="K83" s="5">
        <v>230</v>
      </c>
      <c r="L83" s="5">
        <v>4271</v>
      </c>
      <c r="M83" s="5">
        <v>0</v>
      </c>
      <c r="N83" s="5">
        <v>3531</v>
      </c>
      <c r="O83" s="5">
        <v>5</v>
      </c>
      <c r="P83" s="5">
        <v>21</v>
      </c>
      <c r="Q83" s="5">
        <v>0</v>
      </c>
      <c r="R83" s="5">
        <v>0</v>
      </c>
      <c r="S83" s="5">
        <v>0</v>
      </c>
      <c r="T83" s="5">
        <v>0</v>
      </c>
      <c r="U83" s="5">
        <v>17</v>
      </c>
      <c r="V83" s="5">
        <v>0</v>
      </c>
      <c r="W83" s="5">
        <v>10</v>
      </c>
      <c r="X83" s="5">
        <v>0</v>
      </c>
      <c r="Y83" s="5">
        <v>0</v>
      </c>
      <c r="Z83" s="5">
        <v>0</v>
      </c>
      <c r="AA83" s="8">
        <f>SUM(B83:Z83)</f>
        <v>41455</v>
      </c>
    </row>
    <row r="84" spans="1:27" x14ac:dyDescent="0.25">
      <c r="A84" s="5" t="s">
        <v>224</v>
      </c>
      <c r="B84" s="5">
        <v>11771</v>
      </c>
      <c r="C84" s="5">
        <v>3048</v>
      </c>
      <c r="D84" s="5">
        <v>0</v>
      </c>
      <c r="E84" s="5">
        <v>0</v>
      </c>
      <c r="F84" s="5">
        <v>546</v>
      </c>
      <c r="G84" s="5">
        <v>789</v>
      </c>
      <c r="H84" s="5">
        <v>2997</v>
      </c>
      <c r="I84" s="5">
        <v>0</v>
      </c>
      <c r="J84" s="5">
        <v>0</v>
      </c>
      <c r="K84" s="5">
        <v>184</v>
      </c>
      <c r="L84" s="5">
        <v>734</v>
      </c>
      <c r="M84" s="5">
        <v>0</v>
      </c>
      <c r="N84" s="5">
        <v>0</v>
      </c>
      <c r="O84" s="5">
        <v>0</v>
      </c>
      <c r="P84" s="5">
        <v>1096</v>
      </c>
      <c r="Q84" s="5">
        <v>24</v>
      </c>
      <c r="R84" s="5">
        <v>1</v>
      </c>
      <c r="S84" s="5">
        <v>0</v>
      </c>
      <c r="T84" s="5">
        <v>0</v>
      </c>
      <c r="U84" s="5">
        <v>60</v>
      </c>
      <c r="V84" s="5">
        <v>0</v>
      </c>
      <c r="W84" s="5">
        <v>275</v>
      </c>
      <c r="X84" s="5">
        <v>0</v>
      </c>
      <c r="Y84" s="5">
        <v>0</v>
      </c>
      <c r="Z84" s="5">
        <v>0</v>
      </c>
      <c r="AA84" s="8">
        <f>SUM(B84:Z84)</f>
        <v>21525</v>
      </c>
    </row>
    <row r="85" spans="1:27" x14ac:dyDescent="0.25">
      <c r="A85" s="5" t="s">
        <v>93</v>
      </c>
      <c r="B85" s="5">
        <v>11494</v>
      </c>
      <c r="C85" s="5">
        <v>10243</v>
      </c>
      <c r="D85" s="5">
        <v>0</v>
      </c>
      <c r="E85" s="5">
        <v>0</v>
      </c>
      <c r="F85" s="5">
        <v>5949</v>
      </c>
      <c r="G85" s="5">
        <v>22</v>
      </c>
      <c r="H85" s="5">
        <v>2165</v>
      </c>
      <c r="I85" s="5">
        <v>0</v>
      </c>
      <c r="J85" s="5">
        <v>0</v>
      </c>
      <c r="K85" s="5">
        <v>757</v>
      </c>
      <c r="L85" s="5">
        <v>2289</v>
      </c>
      <c r="M85" s="5">
        <v>0</v>
      </c>
      <c r="N85" s="5">
        <v>7892</v>
      </c>
      <c r="O85" s="5">
        <v>0</v>
      </c>
      <c r="P85" s="5">
        <v>55</v>
      </c>
      <c r="Q85" s="5">
        <v>3</v>
      </c>
      <c r="R85" s="5">
        <v>0</v>
      </c>
      <c r="S85" s="5">
        <v>0</v>
      </c>
      <c r="T85" s="5">
        <v>0</v>
      </c>
      <c r="U85" s="5">
        <v>32</v>
      </c>
      <c r="V85" s="5">
        <v>0</v>
      </c>
      <c r="W85" s="5">
        <v>7</v>
      </c>
      <c r="X85" s="5">
        <v>0</v>
      </c>
      <c r="Y85" s="5">
        <v>0</v>
      </c>
      <c r="Z85" s="5">
        <v>0</v>
      </c>
      <c r="AA85" s="8">
        <f>SUM(B85:Z85)</f>
        <v>40908</v>
      </c>
    </row>
    <row r="86" spans="1:27" x14ac:dyDescent="0.25">
      <c r="A86" s="5" t="s">
        <v>71</v>
      </c>
      <c r="B86" s="5">
        <v>11183</v>
      </c>
      <c r="C86" s="5">
        <v>1697</v>
      </c>
      <c r="D86" s="5">
        <v>0</v>
      </c>
      <c r="E86" s="5">
        <v>0</v>
      </c>
      <c r="F86" s="5">
        <v>0</v>
      </c>
      <c r="G86" s="5">
        <v>241</v>
      </c>
      <c r="H86" s="5">
        <v>2716</v>
      </c>
      <c r="I86" s="5">
        <v>0</v>
      </c>
      <c r="J86" s="5">
        <v>0</v>
      </c>
      <c r="K86" s="5">
        <v>84</v>
      </c>
      <c r="L86" s="5">
        <v>265</v>
      </c>
      <c r="M86" s="5">
        <v>0</v>
      </c>
      <c r="N86" s="5">
        <v>8826</v>
      </c>
      <c r="O86" s="5">
        <v>0</v>
      </c>
      <c r="P86" s="5">
        <v>0</v>
      </c>
      <c r="Q86" s="5">
        <v>81</v>
      </c>
      <c r="R86" s="5">
        <v>0</v>
      </c>
      <c r="S86" s="5">
        <v>0</v>
      </c>
      <c r="T86" s="5">
        <v>0</v>
      </c>
      <c r="U86" s="5">
        <v>37</v>
      </c>
      <c r="V86" s="5">
        <v>0</v>
      </c>
      <c r="W86" s="5">
        <v>28</v>
      </c>
      <c r="X86" s="5">
        <v>0</v>
      </c>
      <c r="Y86" s="5">
        <v>0</v>
      </c>
      <c r="Z86" s="5">
        <v>0</v>
      </c>
      <c r="AA86" s="8">
        <f>SUM(B86:Z86)</f>
        <v>25158</v>
      </c>
    </row>
    <row r="87" spans="1:27" x14ac:dyDescent="0.25">
      <c r="A87" s="5" t="s">
        <v>8</v>
      </c>
      <c r="B87" s="5">
        <v>11119</v>
      </c>
      <c r="C87" s="5">
        <v>1586</v>
      </c>
      <c r="D87" s="5">
        <v>0</v>
      </c>
      <c r="E87" s="5">
        <v>0</v>
      </c>
      <c r="F87" s="5">
        <v>135</v>
      </c>
      <c r="G87" s="5">
        <v>116</v>
      </c>
      <c r="H87" s="5">
        <v>5932</v>
      </c>
      <c r="I87" s="5">
        <v>0</v>
      </c>
      <c r="J87" s="5">
        <v>0</v>
      </c>
      <c r="K87" s="5">
        <v>171</v>
      </c>
      <c r="L87" s="5">
        <v>922</v>
      </c>
      <c r="M87" s="5">
        <v>0</v>
      </c>
      <c r="N87" s="5">
        <v>0</v>
      </c>
      <c r="O87" s="5">
        <v>0</v>
      </c>
      <c r="P87" s="5">
        <v>278</v>
      </c>
      <c r="Q87" s="5">
        <v>78</v>
      </c>
      <c r="R87" s="5">
        <v>0</v>
      </c>
      <c r="S87" s="5">
        <v>0</v>
      </c>
      <c r="T87" s="5">
        <v>0</v>
      </c>
      <c r="U87" s="5">
        <v>135</v>
      </c>
      <c r="V87" s="5">
        <v>0</v>
      </c>
      <c r="W87" s="5">
        <v>5</v>
      </c>
      <c r="X87" s="5">
        <v>0</v>
      </c>
      <c r="Y87" s="5">
        <v>0</v>
      </c>
      <c r="Z87" s="5">
        <v>0</v>
      </c>
      <c r="AA87" s="8">
        <f>SUM(B87:Z87)</f>
        <v>20477</v>
      </c>
    </row>
    <row r="88" spans="1:27" x14ac:dyDescent="0.25">
      <c r="A88" s="5" t="s">
        <v>65</v>
      </c>
      <c r="B88" s="5">
        <v>10979</v>
      </c>
      <c r="C88" s="5">
        <v>2154</v>
      </c>
      <c r="D88" s="5">
        <v>0</v>
      </c>
      <c r="E88" s="5">
        <v>0</v>
      </c>
      <c r="F88" s="5">
        <v>1619</v>
      </c>
      <c r="G88" s="5">
        <v>259</v>
      </c>
      <c r="H88" s="5">
        <v>3176</v>
      </c>
      <c r="I88" s="5">
        <v>0</v>
      </c>
      <c r="J88" s="5">
        <v>0</v>
      </c>
      <c r="K88" s="5">
        <v>85</v>
      </c>
      <c r="L88" s="5">
        <v>452</v>
      </c>
      <c r="M88" s="5">
        <v>0</v>
      </c>
      <c r="N88" s="5">
        <v>7454</v>
      </c>
      <c r="O88" s="5">
        <v>0</v>
      </c>
      <c r="P88" s="5">
        <v>133</v>
      </c>
      <c r="Q88" s="5">
        <v>6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57</v>
      </c>
      <c r="X88" s="5">
        <v>0</v>
      </c>
      <c r="Y88" s="5">
        <v>0</v>
      </c>
      <c r="Z88" s="5">
        <v>168</v>
      </c>
      <c r="AA88" s="8">
        <f>SUM(B88:Z88)</f>
        <v>26542</v>
      </c>
    </row>
    <row r="89" spans="1:27" x14ac:dyDescent="0.25">
      <c r="A89" s="5" t="s">
        <v>140</v>
      </c>
      <c r="B89" s="5">
        <v>10895</v>
      </c>
      <c r="C89" s="5">
        <v>5812</v>
      </c>
      <c r="D89" s="5">
        <v>1011</v>
      </c>
      <c r="E89" s="5">
        <v>175</v>
      </c>
      <c r="F89" s="5">
        <v>9255</v>
      </c>
      <c r="G89" s="5">
        <v>287</v>
      </c>
      <c r="H89" s="5">
        <v>3788</v>
      </c>
      <c r="I89" s="5">
        <v>0</v>
      </c>
      <c r="J89" s="5">
        <v>0</v>
      </c>
      <c r="K89" s="5">
        <v>178</v>
      </c>
      <c r="L89" s="5">
        <v>1513</v>
      </c>
      <c r="M89" s="5">
        <v>0</v>
      </c>
      <c r="N89" s="5">
        <v>0</v>
      </c>
      <c r="O89" s="5">
        <v>6</v>
      </c>
      <c r="P89" s="5">
        <v>9</v>
      </c>
      <c r="Q89" s="5">
        <v>44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216</v>
      </c>
      <c r="X89" s="5">
        <v>0</v>
      </c>
      <c r="Y89" s="5">
        <v>0</v>
      </c>
      <c r="Z89" s="5">
        <v>0</v>
      </c>
      <c r="AA89" s="8">
        <f>SUM(B89:Z89)</f>
        <v>33189</v>
      </c>
    </row>
    <row r="90" spans="1:27" x14ac:dyDescent="0.25">
      <c r="A90" s="5" t="s">
        <v>97</v>
      </c>
      <c r="B90" s="5">
        <v>10688</v>
      </c>
      <c r="C90" s="5">
        <v>2015</v>
      </c>
      <c r="D90" s="5">
        <v>123</v>
      </c>
      <c r="E90" s="5">
        <v>0</v>
      </c>
      <c r="F90" s="5">
        <v>9255</v>
      </c>
      <c r="G90" s="5">
        <v>138</v>
      </c>
      <c r="H90" s="5">
        <v>4901</v>
      </c>
      <c r="I90" s="5">
        <v>0</v>
      </c>
      <c r="J90" s="5">
        <v>0</v>
      </c>
      <c r="K90" s="5">
        <v>316</v>
      </c>
      <c r="L90" s="5">
        <v>938</v>
      </c>
      <c r="M90" s="5">
        <v>0</v>
      </c>
      <c r="N90" s="5">
        <v>0</v>
      </c>
      <c r="O90" s="5">
        <v>6</v>
      </c>
      <c r="P90" s="5">
        <v>128</v>
      </c>
      <c r="Q90" s="5">
        <v>367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16</v>
      </c>
      <c r="X90" s="5">
        <v>0</v>
      </c>
      <c r="Y90" s="5">
        <v>0</v>
      </c>
      <c r="Z90" s="5">
        <v>156</v>
      </c>
      <c r="AA90" s="8">
        <f>SUM(B90:Z90)</f>
        <v>29047</v>
      </c>
    </row>
    <row r="91" spans="1:27" x14ac:dyDescent="0.25">
      <c r="A91" s="5" t="s">
        <v>7</v>
      </c>
      <c r="B91" s="5">
        <v>10616</v>
      </c>
      <c r="C91" s="5">
        <v>791</v>
      </c>
      <c r="D91" s="5">
        <v>0</v>
      </c>
      <c r="E91" s="5">
        <v>0</v>
      </c>
      <c r="F91" s="5">
        <v>1187</v>
      </c>
      <c r="G91" s="5">
        <v>557</v>
      </c>
      <c r="H91" s="5">
        <v>4463</v>
      </c>
      <c r="I91" s="5">
        <v>0</v>
      </c>
      <c r="J91" s="5">
        <v>0</v>
      </c>
      <c r="K91" s="5">
        <v>87</v>
      </c>
      <c r="L91" s="5">
        <v>183</v>
      </c>
      <c r="M91" s="5">
        <v>0</v>
      </c>
      <c r="N91" s="5">
        <v>0</v>
      </c>
      <c r="O91" s="5">
        <v>92</v>
      </c>
      <c r="P91" s="5">
        <v>0</v>
      </c>
      <c r="Q91" s="5">
        <v>193</v>
      </c>
      <c r="R91" s="5">
        <v>0</v>
      </c>
      <c r="S91" s="5">
        <v>0</v>
      </c>
      <c r="T91" s="5">
        <v>0</v>
      </c>
      <c r="U91" s="5">
        <v>54</v>
      </c>
      <c r="V91" s="5">
        <v>0</v>
      </c>
      <c r="W91" s="5">
        <v>118</v>
      </c>
      <c r="X91" s="5">
        <v>0</v>
      </c>
      <c r="Y91" s="5">
        <v>0</v>
      </c>
      <c r="Z91" s="5">
        <v>0</v>
      </c>
      <c r="AA91" s="8">
        <f>SUM(B91:Z91)</f>
        <v>18341</v>
      </c>
    </row>
    <row r="92" spans="1:27" x14ac:dyDescent="0.25">
      <c r="A92" s="5" t="s">
        <v>145</v>
      </c>
      <c r="B92" s="5">
        <v>10325</v>
      </c>
      <c r="C92" s="5">
        <v>4611</v>
      </c>
      <c r="D92" s="5">
        <v>476</v>
      </c>
      <c r="E92" s="5">
        <v>3235</v>
      </c>
      <c r="F92" s="5">
        <v>8770</v>
      </c>
      <c r="G92" s="5">
        <v>261</v>
      </c>
      <c r="H92" s="5">
        <v>3072</v>
      </c>
      <c r="I92" s="5">
        <v>0</v>
      </c>
      <c r="J92" s="5">
        <v>0</v>
      </c>
      <c r="K92" s="5">
        <v>270</v>
      </c>
      <c r="L92" s="5">
        <v>2476</v>
      </c>
      <c r="M92" s="5">
        <v>0</v>
      </c>
      <c r="N92" s="5">
        <v>0</v>
      </c>
      <c r="O92" s="5">
        <v>40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6</v>
      </c>
      <c r="X92" s="5">
        <v>0</v>
      </c>
      <c r="Y92" s="5">
        <v>0</v>
      </c>
      <c r="Z92" s="5">
        <v>0</v>
      </c>
      <c r="AA92" s="8">
        <f>SUM(B92:Z92)</f>
        <v>33542</v>
      </c>
    </row>
    <row r="93" spans="1:27" x14ac:dyDescent="0.25">
      <c r="A93" s="5" t="s">
        <v>236</v>
      </c>
      <c r="B93" s="5">
        <v>10137</v>
      </c>
      <c r="C93" s="5">
        <v>6606</v>
      </c>
      <c r="D93" s="5">
        <v>7979</v>
      </c>
      <c r="E93" s="5">
        <v>521</v>
      </c>
      <c r="F93" s="5">
        <v>6293</v>
      </c>
      <c r="G93" s="5">
        <v>920</v>
      </c>
      <c r="H93" s="5">
        <v>2858</v>
      </c>
      <c r="I93" s="5">
        <v>0</v>
      </c>
      <c r="J93" s="5">
        <v>0</v>
      </c>
      <c r="K93" s="5">
        <v>402</v>
      </c>
      <c r="L93" s="5">
        <v>2879</v>
      </c>
      <c r="M93" s="5">
        <v>0</v>
      </c>
      <c r="N93" s="5">
        <v>188</v>
      </c>
      <c r="O93" s="5">
        <v>2</v>
      </c>
      <c r="P93" s="5">
        <v>515</v>
      </c>
      <c r="Q93" s="5">
        <v>1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13</v>
      </c>
      <c r="X93" s="5">
        <v>0</v>
      </c>
      <c r="Y93" s="5">
        <v>0</v>
      </c>
      <c r="Z93" s="5">
        <v>0</v>
      </c>
      <c r="AA93" s="8">
        <f>SUM(B93:Z93)</f>
        <v>39314</v>
      </c>
    </row>
    <row r="94" spans="1:27" x14ac:dyDescent="0.25">
      <c r="A94" s="5" t="s">
        <v>127</v>
      </c>
      <c r="B94" s="5">
        <v>9990</v>
      </c>
      <c r="C94" s="5">
        <v>14208</v>
      </c>
      <c r="D94" s="5">
        <v>0</v>
      </c>
      <c r="E94" s="5">
        <v>14</v>
      </c>
      <c r="F94" s="5">
        <v>1719</v>
      </c>
      <c r="G94" s="5">
        <v>319</v>
      </c>
      <c r="H94" s="5">
        <v>4572</v>
      </c>
      <c r="I94" s="5">
        <v>0</v>
      </c>
      <c r="J94" s="5">
        <v>0</v>
      </c>
      <c r="K94" s="5">
        <v>389</v>
      </c>
      <c r="L94" s="5">
        <v>1910</v>
      </c>
      <c r="M94" s="5">
        <v>0</v>
      </c>
      <c r="N94" s="5">
        <v>0</v>
      </c>
      <c r="O94" s="5">
        <v>8</v>
      </c>
      <c r="P94" s="5">
        <v>830</v>
      </c>
      <c r="Q94" s="5">
        <v>13</v>
      </c>
      <c r="R94" s="5">
        <v>0</v>
      </c>
      <c r="S94" s="5">
        <v>0</v>
      </c>
      <c r="T94" s="5">
        <v>278</v>
      </c>
      <c r="U94" s="5">
        <v>29</v>
      </c>
      <c r="V94" s="5">
        <v>0</v>
      </c>
      <c r="W94" s="5">
        <v>60</v>
      </c>
      <c r="X94" s="5">
        <v>0</v>
      </c>
      <c r="Y94" s="5">
        <v>0</v>
      </c>
      <c r="Z94" s="5">
        <v>0</v>
      </c>
      <c r="AA94" s="8">
        <f>SUM(B94:Z94)</f>
        <v>34339</v>
      </c>
    </row>
    <row r="95" spans="1:27" x14ac:dyDescent="0.25">
      <c r="A95" s="5" t="s">
        <v>244</v>
      </c>
      <c r="B95" s="5">
        <v>9862</v>
      </c>
      <c r="C95" s="5">
        <v>23005</v>
      </c>
      <c r="D95" s="5">
        <v>16324</v>
      </c>
      <c r="E95" s="5">
        <v>460</v>
      </c>
      <c r="F95" s="5">
        <v>6953</v>
      </c>
      <c r="G95" s="5">
        <v>108</v>
      </c>
      <c r="H95" s="5">
        <v>2246</v>
      </c>
      <c r="I95" s="5">
        <v>69</v>
      </c>
      <c r="J95" s="5">
        <v>0</v>
      </c>
      <c r="K95" s="5">
        <v>177</v>
      </c>
      <c r="L95" s="5">
        <v>1398</v>
      </c>
      <c r="M95" s="5">
        <v>0</v>
      </c>
      <c r="N95" s="5">
        <v>7013</v>
      </c>
      <c r="O95" s="5">
        <v>7</v>
      </c>
      <c r="P95" s="5">
        <v>215</v>
      </c>
      <c r="Q95" s="5">
        <v>6</v>
      </c>
      <c r="R95" s="5">
        <v>0</v>
      </c>
      <c r="S95" s="5">
        <v>0</v>
      </c>
      <c r="T95" s="5">
        <v>0</v>
      </c>
      <c r="U95" s="5">
        <v>7</v>
      </c>
      <c r="V95" s="5">
        <v>0</v>
      </c>
      <c r="W95" s="5">
        <v>2</v>
      </c>
      <c r="X95" s="5">
        <v>0</v>
      </c>
      <c r="Y95" s="5">
        <v>0</v>
      </c>
      <c r="Z95" s="5">
        <v>0</v>
      </c>
      <c r="AA95" s="8">
        <f>SUM(B95:Z95)</f>
        <v>67852</v>
      </c>
    </row>
    <row r="96" spans="1:27" x14ac:dyDescent="0.25">
      <c r="A96" s="5" t="s">
        <v>211</v>
      </c>
      <c r="B96" s="5">
        <v>9460</v>
      </c>
      <c r="C96" s="5">
        <v>22505</v>
      </c>
      <c r="D96" s="5">
        <v>31146</v>
      </c>
      <c r="E96" s="5">
        <v>51</v>
      </c>
      <c r="F96" s="5">
        <v>509</v>
      </c>
      <c r="G96" s="5">
        <v>628</v>
      </c>
      <c r="H96" s="5">
        <v>3067</v>
      </c>
      <c r="I96" s="5">
        <v>116</v>
      </c>
      <c r="J96" s="5">
        <v>0</v>
      </c>
      <c r="K96" s="5">
        <v>202</v>
      </c>
      <c r="L96" s="5">
        <v>1952</v>
      </c>
      <c r="M96" s="5">
        <v>0</v>
      </c>
      <c r="N96" s="5">
        <v>0</v>
      </c>
      <c r="O96" s="5">
        <v>2</v>
      </c>
      <c r="P96" s="5">
        <v>362</v>
      </c>
      <c r="Q96" s="5">
        <v>35</v>
      </c>
      <c r="R96" s="5">
        <v>0</v>
      </c>
      <c r="S96" s="5">
        <v>0</v>
      </c>
      <c r="T96" s="5">
        <v>0</v>
      </c>
      <c r="U96" s="5">
        <v>49</v>
      </c>
      <c r="V96" s="5">
        <v>0</v>
      </c>
      <c r="W96" s="5">
        <v>324</v>
      </c>
      <c r="X96" s="5">
        <v>0</v>
      </c>
      <c r="Y96" s="5">
        <v>0</v>
      </c>
      <c r="Z96" s="5">
        <v>0</v>
      </c>
      <c r="AA96" s="8">
        <f>SUM(B96:Z96)</f>
        <v>70408</v>
      </c>
    </row>
    <row r="97" spans="1:27" x14ac:dyDescent="0.25">
      <c r="A97" s="5" t="s">
        <v>108</v>
      </c>
      <c r="B97" s="5">
        <v>9362</v>
      </c>
      <c r="C97" s="5">
        <v>5321</v>
      </c>
      <c r="D97" s="5">
        <v>0</v>
      </c>
      <c r="E97" s="5">
        <v>0</v>
      </c>
      <c r="F97" s="5">
        <v>1385</v>
      </c>
      <c r="G97" s="5">
        <v>21</v>
      </c>
      <c r="H97" s="5">
        <v>2375</v>
      </c>
      <c r="I97" s="5">
        <v>0</v>
      </c>
      <c r="J97" s="5">
        <v>0</v>
      </c>
      <c r="K97" s="5">
        <v>157</v>
      </c>
      <c r="L97" s="5">
        <v>832</v>
      </c>
      <c r="M97" s="5">
        <v>2</v>
      </c>
      <c r="N97" s="5">
        <v>15826</v>
      </c>
      <c r="O97" s="5">
        <v>1</v>
      </c>
      <c r="P97" s="5">
        <v>10</v>
      </c>
      <c r="Q97" s="5">
        <v>51</v>
      </c>
      <c r="R97" s="5">
        <v>0</v>
      </c>
      <c r="S97" s="5">
        <v>0</v>
      </c>
      <c r="T97" s="5">
        <v>0</v>
      </c>
      <c r="U97" s="5">
        <v>1</v>
      </c>
      <c r="V97" s="5">
        <v>0</v>
      </c>
      <c r="W97" s="5">
        <v>11</v>
      </c>
      <c r="X97" s="5">
        <v>0</v>
      </c>
      <c r="Y97" s="5">
        <v>0</v>
      </c>
      <c r="Z97" s="5">
        <v>0</v>
      </c>
      <c r="AA97" s="8">
        <f>SUM(B97:Z97)</f>
        <v>35355</v>
      </c>
    </row>
    <row r="98" spans="1:27" x14ac:dyDescent="0.25">
      <c r="A98" s="5" t="s">
        <v>100</v>
      </c>
      <c r="B98" s="5">
        <v>9223</v>
      </c>
      <c r="C98" s="5">
        <v>9092</v>
      </c>
      <c r="D98" s="5">
        <v>0</v>
      </c>
      <c r="E98" s="5">
        <v>0</v>
      </c>
      <c r="F98" s="5">
        <v>2589</v>
      </c>
      <c r="G98" s="5">
        <v>71</v>
      </c>
      <c r="H98" s="5">
        <v>2342</v>
      </c>
      <c r="I98" s="5">
        <v>0</v>
      </c>
      <c r="J98" s="5">
        <v>0</v>
      </c>
      <c r="K98" s="5">
        <v>518</v>
      </c>
      <c r="L98" s="5">
        <v>2139</v>
      </c>
      <c r="M98" s="5">
        <v>0</v>
      </c>
      <c r="N98" s="5">
        <v>7088</v>
      </c>
      <c r="O98" s="5">
        <v>8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>
        <v>64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8">
        <f>SUM(B98:Z98)</f>
        <v>33135</v>
      </c>
    </row>
    <row r="99" spans="1:27" x14ac:dyDescent="0.25">
      <c r="A99" s="5" t="s">
        <v>35</v>
      </c>
      <c r="B99" s="5">
        <v>8681</v>
      </c>
      <c r="C99" s="5">
        <v>2060</v>
      </c>
      <c r="D99" s="5">
        <v>2387</v>
      </c>
      <c r="E99" s="5">
        <v>0</v>
      </c>
      <c r="F99" s="5">
        <v>0</v>
      </c>
      <c r="G99" s="5">
        <v>6</v>
      </c>
      <c r="H99" s="5">
        <v>1697</v>
      </c>
      <c r="I99" s="5">
        <v>0</v>
      </c>
      <c r="J99" s="5">
        <v>0</v>
      </c>
      <c r="K99" s="5">
        <v>79</v>
      </c>
      <c r="L99" s="5">
        <v>257</v>
      </c>
      <c r="M99" s="5">
        <v>0</v>
      </c>
      <c r="N99" s="5">
        <v>1770</v>
      </c>
      <c r="O99" s="5">
        <v>1</v>
      </c>
      <c r="P99" s="5">
        <v>0</v>
      </c>
      <c r="Q99" s="5">
        <v>2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8">
        <f>SUM(B99:Z99)</f>
        <v>16940</v>
      </c>
    </row>
    <row r="100" spans="1:27" x14ac:dyDescent="0.25">
      <c r="A100" s="5" t="s">
        <v>73</v>
      </c>
      <c r="B100" s="5">
        <v>8639</v>
      </c>
      <c r="C100" s="5">
        <v>192</v>
      </c>
      <c r="D100" s="5">
        <v>0</v>
      </c>
      <c r="E100" s="5">
        <v>0</v>
      </c>
      <c r="F100" s="5">
        <v>69</v>
      </c>
      <c r="G100" s="5">
        <v>4</v>
      </c>
      <c r="H100" s="5">
        <v>2831</v>
      </c>
      <c r="I100" s="5">
        <v>0</v>
      </c>
      <c r="J100" s="5">
        <v>0</v>
      </c>
      <c r="K100" s="5">
        <v>172</v>
      </c>
      <c r="L100" s="5">
        <v>1001</v>
      </c>
      <c r="M100" s="5">
        <v>0</v>
      </c>
      <c r="N100" s="5">
        <v>0</v>
      </c>
      <c r="O100" s="5">
        <v>0</v>
      </c>
      <c r="P100" s="5">
        <v>0</v>
      </c>
      <c r="Q100" s="5">
        <v>26</v>
      </c>
      <c r="R100" s="5">
        <v>0</v>
      </c>
      <c r="S100" s="5">
        <v>0</v>
      </c>
      <c r="T100" s="5">
        <v>0</v>
      </c>
      <c r="U100" s="5">
        <v>64</v>
      </c>
      <c r="V100" s="5">
        <v>0</v>
      </c>
      <c r="W100" s="5">
        <v>44</v>
      </c>
      <c r="X100" s="5">
        <v>0</v>
      </c>
      <c r="Y100" s="5">
        <v>0</v>
      </c>
      <c r="Z100" s="5">
        <v>0</v>
      </c>
      <c r="AA100" s="8">
        <f>SUM(B100:Z100)</f>
        <v>13042</v>
      </c>
    </row>
    <row r="101" spans="1:27" x14ac:dyDescent="0.25">
      <c r="A101" s="5" t="s">
        <v>274</v>
      </c>
      <c r="B101" s="5">
        <v>8308</v>
      </c>
      <c r="C101" s="5">
        <v>4618</v>
      </c>
      <c r="D101" s="5">
        <v>2317</v>
      </c>
      <c r="E101" s="5">
        <v>21</v>
      </c>
      <c r="F101" s="5">
        <v>747</v>
      </c>
      <c r="G101" s="5">
        <v>33</v>
      </c>
      <c r="H101" s="5">
        <v>5174</v>
      </c>
      <c r="I101" s="5">
        <v>0</v>
      </c>
      <c r="J101" s="5">
        <v>0</v>
      </c>
      <c r="K101" s="5">
        <v>184</v>
      </c>
      <c r="L101" s="5">
        <v>1307</v>
      </c>
      <c r="M101" s="5">
        <v>0</v>
      </c>
      <c r="N101" s="5">
        <v>0</v>
      </c>
      <c r="O101" s="5">
        <v>20</v>
      </c>
      <c r="P101" s="5">
        <v>55</v>
      </c>
      <c r="Q101" s="5">
        <v>56</v>
      </c>
      <c r="R101" s="5">
        <v>0</v>
      </c>
      <c r="S101" s="5">
        <v>0</v>
      </c>
      <c r="T101" s="5">
        <v>165</v>
      </c>
      <c r="U101" s="5">
        <v>0</v>
      </c>
      <c r="V101" s="5">
        <v>0</v>
      </c>
      <c r="W101" s="5">
        <v>14</v>
      </c>
      <c r="X101" s="5">
        <v>0</v>
      </c>
      <c r="Y101" s="5">
        <v>0</v>
      </c>
      <c r="Z101" s="5">
        <v>0</v>
      </c>
      <c r="AA101" s="8">
        <f>SUM(B101:Z101)</f>
        <v>23019</v>
      </c>
    </row>
    <row r="102" spans="1:27" x14ac:dyDescent="0.25">
      <c r="A102" s="5" t="s">
        <v>216</v>
      </c>
      <c r="B102" s="5">
        <v>8199</v>
      </c>
      <c r="C102" s="5">
        <v>605</v>
      </c>
      <c r="D102" s="5">
        <v>0</v>
      </c>
      <c r="E102" s="5">
        <v>0</v>
      </c>
      <c r="F102" s="5">
        <v>187</v>
      </c>
      <c r="G102" s="5">
        <v>820</v>
      </c>
      <c r="H102" s="5">
        <v>1964</v>
      </c>
      <c r="I102" s="5">
        <v>0</v>
      </c>
      <c r="J102" s="5">
        <v>0</v>
      </c>
      <c r="K102" s="5">
        <v>136</v>
      </c>
      <c r="L102" s="5">
        <v>873</v>
      </c>
      <c r="M102" s="5">
        <v>0</v>
      </c>
      <c r="N102" s="5">
        <v>0</v>
      </c>
      <c r="O102" s="5">
        <v>1</v>
      </c>
      <c r="P102" s="5">
        <v>72</v>
      </c>
      <c r="Q102" s="5">
        <v>18</v>
      </c>
      <c r="R102" s="5">
        <v>0</v>
      </c>
      <c r="S102" s="5">
        <v>0</v>
      </c>
      <c r="T102" s="5">
        <v>0</v>
      </c>
      <c r="U102" s="5">
        <v>15</v>
      </c>
      <c r="V102" s="5">
        <v>0</v>
      </c>
      <c r="W102" s="5">
        <v>71</v>
      </c>
      <c r="X102" s="5">
        <v>0</v>
      </c>
      <c r="Y102" s="5">
        <v>0</v>
      </c>
      <c r="Z102" s="5">
        <v>0</v>
      </c>
      <c r="AA102" s="8">
        <f>SUM(B102:Z102)</f>
        <v>12961</v>
      </c>
    </row>
    <row r="103" spans="1:27" x14ac:dyDescent="0.25">
      <c r="A103" s="5" t="s">
        <v>260</v>
      </c>
      <c r="B103" s="5">
        <v>8135</v>
      </c>
      <c r="C103" s="5">
        <v>5734</v>
      </c>
      <c r="D103" s="5">
        <v>260</v>
      </c>
      <c r="E103" s="5">
        <v>1761</v>
      </c>
      <c r="F103" s="5">
        <v>4008</v>
      </c>
      <c r="G103" s="5">
        <v>836</v>
      </c>
      <c r="H103" s="5">
        <v>1854</v>
      </c>
      <c r="I103" s="5">
        <v>0</v>
      </c>
      <c r="J103" s="5">
        <v>0</v>
      </c>
      <c r="K103" s="5">
        <v>236</v>
      </c>
      <c r="L103" s="5">
        <v>1094</v>
      </c>
      <c r="M103" s="5">
        <v>0</v>
      </c>
      <c r="N103" s="5">
        <v>0</v>
      </c>
      <c r="O103" s="5">
        <v>2</v>
      </c>
      <c r="P103" s="5">
        <v>0</v>
      </c>
      <c r="Q103" s="5">
        <v>13</v>
      </c>
      <c r="R103" s="5">
        <v>0</v>
      </c>
      <c r="S103" s="5">
        <v>0</v>
      </c>
      <c r="T103" s="5">
        <v>0</v>
      </c>
      <c r="U103" s="5">
        <v>26</v>
      </c>
      <c r="V103" s="5">
        <v>0</v>
      </c>
      <c r="W103" s="5">
        <v>10</v>
      </c>
      <c r="X103" s="5">
        <v>0</v>
      </c>
      <c r="Y103" s="5">
        <v>0</v>
      </c>
      <c r="Z103" s="5">
        <v>0</v>
      </c>
      <c r="AA103" s="8">
        <f>SUM(B103:Z103)</f>
        <v>23969</v>
      </c>
    </row>
    <row r="104" spans="1:27" x14ac:dyDescent="0.25">
      <c r="A104" s="5" t="s">
        <v>146</v>
      </c>
      <c r="B104" s="5">
        <v>7871</v>
      </c>
      <c r="C104" s="5">
        <v>7454</v>
      </c>
      <c r="D104" s="5">
        <v>0</v>
      </c>
      <c r="E104" s="5">
        <v>0</v>
      </c>
      <c r="F104" s="5">
        <v>44775</v>
      </c>
      <c r="G104" s="5">
        <v>409</v>
      </c>
      <c r="H104" s="5">
        <v>1699</v>
      </c>
      <c r="I104" s="5">
        <v>0</v>
      </c>
      <c r="J104" s="5">
        <v>0</v>
      </c>
      <c r="K104" s="5">
        <v>139</v>
      </c>
      <c r="L104" s="5">
        <v>620</v>
      </c>
      <c r="M104" s="5">
        <v>0</v>
      </c>
      <c r="N104" s="5">
        <v>917</v>
      </c>
      <c r="O104" s="5">
        <v>0</v>
      </c>
      <c r="P104" s="5">
        <v>186</v>
      </c>
      <c r="Q104" s="5">
        <v>15</v>
      </c>
      <c r="R104" s="5">
        <v>0</v>
      </c>
      <c r="S104" s="5">
        <v>0</v>
      </c>
      <c r="T104" s="5">
        <v>0</v>
      </c>
      <c r="U104" s="5">
        <v>25</v>
      </c>
      <c r="V104" s="5">
        <v>0</v>
      </c>
      <c r="W104" s="5">
        <v>13</v>
      </c>
      <c r="X104" s="5">
        <v>0</v>
      </c>
      <c r="Y104" s="5">
        <v>0</v>
      </c>
      <c r="Z104" s="5">
        <v>0</v>
      </c>
      <c r="AA104" s="8">
        <f>SUM(B104:Z104)</f>
        <v>64123</v>
      </c>
    </row>
    <row r="105" spans="1:27" x14ac:dyDescent="0.25">
      <c r="A105" s="5" t="s">
        <v>38</v>
      </c>
      <c r="B105" s="5">
        <v>7825</v>
      </c>
      <c r="C105" s="5">
        <v>529</v>
      </c>
      <c r="D105" s="5">
        <v>0</v>
      </c>
      <c r="E105" s="5">
        <v>0</v>
      </c>
      <c r="F105" s="5">
        <v>0</v>
      </c>
      <c r="G105" s="5">
        <v>0</v>
      </c>
      <c r="H105" s="5">
        <v>1501</v>
      </c>
      <c r="I105" s="5">
        <v>0</v>
      </c>
      <c r="J105" s="5">
        <v>0</v>
      </c>
      <c r="K105" s="5">
        <v>31</v>
      </c>
      <c r="L105" s="5">
        <v>99</v>
      </c>
      <c r="M105" s="5">
        <v>0</v>
      </c>
      <c r="N105" s="5">
        <v>2753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26</v>
      </c>
      <c r="V105" s="5">
        <v>0</v>
      </c>
      <c r="W105" s="5">
        <v>1047</v>
      </c>
      <c r="X105" s="5">
        <v>0</v>
      </c>
      <c r="Y105" s="5">
        <v>0</v>
      </c>
      <c r="Z105" s="5">
        <v>0</v>
      </c>
      <c r="AA105" s="8">
        <f>SUM(B105:Z105)</f>
        <v>13811</v>
      </c>
    </row>
    <row r="106" spans="1:27" x14ac:dyDescent="0.25">
      <c r="A106" s="5" t="s">
        <v>36</v>
      </c>
      <c r="B106" s="5">
        <v>7639</v>
      </c>
      <c r="C106" s="5">
        <v>858</v>
      </c>
      <c r="D106" s="5">
        <v>1278</v>
      </c>
      <c r="E106" s="5">
        <v>0</v>
      </c>
      <c r="F106" s="5">
        <v>49</v>
      </c>
      <c r="G106" s="5">
        <v>19</v>
      </c>
      <c r="H106" s="5">
        <v>3193</v>
      </c>
      <c r="I106" s="5">
        <v>0</v>
      </c>
      <c r="J106" s="5">
        <v>0</v>
      </c>
      <c r="K106" s="5">
        <v>170</v>
      </c>
      <c r="L106" s="5">
        <v>568</v>
      </c>
      <c r="M106" s="5">
        <v>0</v>
      </c>
      <c r="N106" s="5">
        <v>328</v>
      </c>
      <c r="O106" s="5">
        <v>0</v>
      </c>
      <c r="P106" s="5">
        <v>62</v>
      </c>
      <c r="Q106" s="5">
        <v>32</v>
      </c>
      <c r="R106" s="5">
        <v>0</v>
      </c>
      <c r="S106" s="5">
        <v>0</v>
      </c>
      <c r="T106" s="5">
        <v>0</v>
      </c>
      <c r="U106" s="5">
        <v>30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8">
        <f>SUM(B106:Z106)</f>
        <v>14226</v>
      </c>
    </row>
    <row r="107" spans="1:27" x14ac:dyDescent="0.25">
      <c r="A107" s="5" t="s">
        <v>263</v>
      </c>
      <c r="B107" s="5">
        <v>7638</v>
      </c>
      <c r="C107" s="5">
        <v>5707</v>
      </c>
      <c r="D107" s="5">
        <v>10886</v>
      </c>
      <c r="E107" s="5">
        <v>0</v>
      </c>
      <c r="F107" s="5">
        <v>245</v>
      </c>
      <c r="G107" s="5">
        <v>1012</v>
      </c>
      <c r="H107" s="5">
        <v>3677</v>
      </c>
      <c r="I107" s="5">
        <v>0</v>
      </c>
      <c r="J107" s="5">
        <v>0</v>
      </c>
      <c r="K107" s="5">
        <v>60</v>
      </c>
      <c r="L107" s="5">
        <v>325</v>
      </c>
      <c r="M107" s="5">
        <v>0</v>
      </c>
      <c r="N107" s="5">
        <v>2</v>
      </c>
      <c r="O107" s="5">
        <v>0</v>
      </c>
      <c r="P107" s="5">
        <v>20</v>
      </c>
      <c r="Q107" s="5">
        <v>54</v>
      </c>
      <c r="R107" s="5">
        <v>0</v>
      </c>
      <c r="S107" s="5">
        <v>1</v>
      </c>
      <c r="T107" s="5">
        <v>0</v>
      </c>
      <c r="U107" s="5">
        <v>39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8">
        <f>SUM(B107:Z107)</f>
        <v>29666</v>
      </c>
    </row>
    <row r="108" spans="1:27" x14ac:dyDescent="0.25">
      <c r="A108" s="5" t="s">
        <v>273</v>
      </c>
      <c r="B108" s="5">
        <v>7443</v>
      </c>
      <c r="C108" s="5">
        <v>13808</v>
      </c>
      <c r="D108" s="5">
        <v>6005</v>
      </c>
      <c r="E108" s="5">
        <v>18</v>
      </c>
      <c r="F108" s="5">
        <v>1079</v>
      </c>
      <c r="G108" s="5">
        <v>213</v>
      </c>
      <c r="H108" s="5">
        <v>5748</v>
      </c>
      <c r="I108" s="5">
        <v>0</v>
      </c>
      <c r="J108" s="5">
        <v>0</v>
      </c>
      <c r="K108" s="5">
        <v>200</v>
      </c>
      <c r="L108" s="5">
        <v>3022</v>
      </c>
      <c r="M108" s="5">
        <v>0</v>
      </c>
      <c r="N108" s="5">
        <v>12015</v>
      </c>
      <c r="O108" s="5">
        <v>0</v>
      </c>
      <c r="P108" s="5">
        <v>0</v>
      </c>
      <c r="Q108" s="5">
        <v>23</v>
      </c>
      <c r="R108" s="5">
        <v>0</v>
      </c>
      <c r="S108" s="5">
        <v>0</v>
      </c>
      <c r="T108" s="5">
        <v>0</v>
      </c>
      <c r="U108" s="5">
        <v>51</v>
      </c>
      <c r="V108" s="5">
        <v>0</v>
      </c>
      <c r="W108" s="5">
        <v>86</v>
      </c>
      <c r="X108" s="5">
        <v>0</v>
      </c>
      <c r="Y108" s="5">
        <v>0</v>
      </c>
      <c r="Z108" s="5">
        <v>0</v>
      </c>
      <c r="AA108" s="8">
        <f>SUM(B108:Z108)</f>
        <v>49711</v>
      </c>
    </row>
    <row r="109" spans="1:27" x14ac:dyDescent="0.25">
      <c r="A109" s="5" t="s">
        <v>41</v>
      </c>
      <c r="B109" s="5">
        <v>7436</v>
      </c>
      <c r="C109" s="5">
        <v>11716</v>
      </c>
      <c r="D109" s="5">
        <v>3116</v>
      </c>
      <c r="E109" s="5">
        <v>0</v>
      </c>
      <c r="F109" s="5">
        <v>1553</v>
      </c>
      <c r="G109" s="5">
        <v>71</v>
      </c>
      <c r="H109" s="5">
        <v>1497</v>
      </c>
      <c r="I109" s="5">
        <v>0</v>
      </c>
      <c r="J109" s="5">
        <v>0</v>
      </c>
      <c r="K109" s="5">
        <v>392</v>
      </c>
      <c r="L109" s="5">
        <v>1611</v>
      </c>
      <c r="M109" s="5">
        <v>3</v>
      </c>
      <c r="N109" s="5">
        <v>234</v>
      </c>
      <c r="O109" s="5">
        <v>1</v>
      </c>
      <c r="P109" s="5">
        <v>0</v>
      </c>
      <c r="Q109" s="5">
        <v>0</v>
      </c>
      <c r="R109" s="5">
        <v>0</v>
      </c>
      <c r="S109" s="5">
        <v>0</v>
      </c>
      <c r="T109" s="5">
        <v>500</v>
      </c>
      <c r="U109" s="5">
        <v>59</v>
      </c>
      <c r="V109" s="5">
        <v>0</v>
      </c>
      <c r="W109" s="5">
        <v>7</v>
      </c>
      <c r="X109" s="5">
        <v>0</v>
      </c>
      <c r="Y109" s="5">
        <v>0</v>
      </c>
      <c r="Z109" s="5">
        <v>0</v>
      </c>
      <c r="AA109" s="8">
        <f>SUM(B109:Z109)</f>
        <v>28196</v>
      </c>
    </row>
    <row r="110" spans="1:27" x14ac:dyDescent="0.25">
      <c r="A110" s="5" t="s">
        <v>139</v>
      </c>
      <c r="B110" s="5">
        <v>7393</v>
      </c>
      <c r="C110" s="5">
        <v>6677</v>
      </c>
      <c r="D110" s="5">
        <v>0</v>
      </c>
      <c r="E110" s="5">
        <v>0</v>
      </c>
      <c r="F110" s="5">
        <v>7635</v>
      </c>
      <c r="G110" s="5">
        <v>160</v>
      </c>
      <c r="H110" s="5">
        <v>3691</v>
      </c>
      <c r="I110" s="5">
        <v>0</v>
      </c>
      <c r="J110" s="5">
        <v>0</v>
      </c>
      <c r="K110" s="5">
        <v>142</v>
      </c>
      <c r="L110" s="5">
        <v>980</v>
      </c>
      <c r="M110" s="5">
        <v>0</v>
      </c>
      <c r="N110" s="5">
        <v>7274</v>
      </c>
      <c r="O110" s="5">
        <v>0</v>
      </c>
      <c r="P110" s="5">
        <v>78</v>
      </c>
      <c r="Q110" s="5">
        <v>1</v>
      </c>
      <c r="R110" s="5">
        <v>0</v>
      </c>
      <c r="S110" s="5">
        <v>0</v>
      </c>
      <c r="T110" s="5">
        <v>0</v>
      </c>
      <c r="U110" s="5">
        <v>40</v>
      </c>
      <c r="V110" s="5">
        <v>0</v>
      </c>
      <c r="W110" s="5">
        <v>160</v>
      </c>
      <c r="X110" s="5">
        <v>0</v>
      </c>
      <c r="Y110" s="5">
        <v>0</v>
      </c>
      <c r="Z110" s="5">
        <v>0</v>
      </c>
      <c r="AA110" s="8">
        <f>SUM(B110:Z110)</f>
        <v>34231</v>
      </c>
    </row>
    <row r="111" spans="1:27" x14ac:dyDescent="0.25">
      <c r="A111" s="5" t="s">
        <v>151</v>
      </c>
      <c r="B111" s="5">
        <v>7101</v>
      </c>
      <c r="C111" s="5">
        <v>5374</v>
      </c>
      <c r="D111" s="5">
        <v>1299</v>
      </c>
      <c r="E111" s="5">
        <v>0</v>
      </c>
      <c r="F111" s="5">
        <v>7216</v>
      </c>
      <c r="G111" s="5">
        <v>155</v>
      </c>
      <c r="H111" s="5">
        <v>2779</v>
      </c>
      <c r="I111" s="5">
        <v>0</v>
      </c>
      <c r="J111" s="5">
        <v>0</v>
      </c>
      <c r="K111" s="5">
        <v>30</v>
      </c>
      <c r="L111" s="5">
        <v>87</v>
      </c>
      <c r="M111" s="5">
        <v>0</v>
      </c>
      <c r="N111" s="5">
        <v>13362</v>
      </c>
      <c r="O111" s="5">
        <v>12</v>
      </c>
      <c r="P111" s="5">
        <v>73</v>
      </c>
      <c r="Q111" s="5">
        <v>24</v>
      </c>
      <c r="R111" s="5">
        <v>0</v>
      </c>
      <c r="S111" s="5">
        <v>0</v>
      </c>
      <c r="T111" s="5">
        <v>0</v>
      </c>
      <c r="U111" s="5">
        <v>31</v>
      </c>
      <c r="V111" s="5">
        <v>0</v>
      </c>
      <c r="W111" s="5">
        <v>8</v>
      </c>
      <c r="X111" s="5">
        <v>0</v>
      </c>
      <c r="Y111" s="5">
        <v>0</v>
      </c>
      <c r="Z111" s="5">
        <v>0</v>
      </c>
      <c r="AA111" s="8">
        <f>SUM(B111:Z111)</f>
        <v>37551</v>
      </c>
    </row>
    <row r="112" spans="1:27" x14ac:dyDescent="0.25">
      <c r="A112" s="5" t="s">
        <v>213</v>
      </c>
      <c r="B112" s="5">
        <v>7009</v>
      </c>
      <c r="C112" s="5">
        <v>2839</v>
      </c>
      <c r="D112" s="5">
        <v>0</v>
      </c>
      <c r="E112" s="5">
        <v>55</v>
      </c>
      <c r="F112" s="5">
        <v>155</v>
      </c>
      <c r="G112" s="5">
        <v>297</v>
      </c>
      <c r="H112" s="5">
        <v>4717</v>
      </c>
      <c r="I112" s="5">
        <v>0</v>
      </c>
      <c r="J112" s="5">
        <v>0</v>
      </c>
      <c r="K112" s="5">
        <v>230</v>
      </c>
      <c r="L112" s="5">
        <v>1531</v>
      </c>
      <c r="M112" s="5">
        <v>0</v>
      </c>
      <c r="N112" s="5">
        <v>946</v>
      </c>
      <c r="O112" s="5">
        <v>0</v>
      </c>
      <c r="P112" s="5">
        <v>92</v>
      </c>
      <c r="Q112" s="5">
        <v>30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2</v>
      </c>
      <c r="X112" s="5">
        <v>0</v>
      </c>
      <c r="Y112" s="5">
        <v>0</v>
      </c>
      <c r="Z112" s="5">
        <v>0</v>
      </c>
      <c r="AA112" s="8">
        <f>SUM(B112:Z112)</f>
        <v>17903</v>
      </c>
    </row>
    <row r="113" spans="1:27" x14ac:dyDescent="0.25">
      <c r="A113" s="5" t="s">
        <v>49</v>
      </c>
      <c r="B113" s="5">
        <v>6755</v>
      </c>
      <c r="C113" s="5">
        <v>5787</v>
      </c>
      <c r="D113" s="5">
        <v>1025</v>
      </c>
      <c r="E113" s="5">
        <v>0</v>
      </c>
      <c r="F113" s="5">
        <v>653</v>
      </c>
      <c r="G113" s="5">
        <v>13</v>
      </c>
      <c r="H113" s="5">
        <v>2568</v>
      </c>
      <c r="I113" s="5">
        <v>0</v>
      </c>
      <c r="J113" s="5">
        <v>0</v>
      </c>
      <c r="K113" s="5">
        <v>256</v>
      </c>
      <c r="L113" s="5">
        <v>2118</v>
      </c>
      <c r="M113" s="5">
        <v>0</v>
      </c>
      <c r="N113" s="5">
        <v>0</v>
      </c>
      <c r="O113" s="5">
        <v>0</v>
      </c>
      <c r="P113" s="5">
        <v>0</v>
      </c>
      <c r="Q113" s="5">
        <v>56</v>
      </c>
      <c r="R113" s="5">
        <v>0</v>
      </c>
      <c r="S113" s="5">
        <v>0</v>
      </c>
      <c r="T113" s="5">
        <v>0</v>
      </c>
      <c r="U113" s="5">
        <v>37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8">
        <f>SUM(B113:Z113)</f>
        <v>19268</v>
      </c>
    </row>
    <row r="114" spans="1:27" x14ac:dyDescent="0.25">
      <c r="A114" s="5" t="s">
        <v>256</v>
      </c>
      <c r="B114" s="5">
        <v>6620</v>
      </c>
      <c r="C114" s="5">
        <v>20076</v>
      </c>
      <c r="D114" s="5">
        <v>378</v>
      </c>
      <c r="E114" s="5">
        <v>0</v>
      </c>
      <c r="F114" s="5">
        <v>162</v>
      </c>
      <c r="G114" s="5">
        <v>1198</v>
      </c>
      <c r="H114" s="5">
        <v>3489</v>
      </c>
      <c r="I114" s="5">
        <v>0</v>
      </c>
      <c r="J114" s="5">
        <v>0</v>
      </c>
      <c r="K114" s="5">
        <v>93</v>
      </c>
      <c r="L114" s="5">
        <v>494</v>
      </c>
      <c r="M114" s="5">
        <v>0</v>
      </c>
      <c r="N114" s="5">
        <v>1972</v>
      </c>
      <c r="O114" s="5">
        <v>0</v>
      </c>
      <c r="P114" s="5">
        <v>3</v>
      </c>
      <c r="Q114" s="5">
        <v>13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23</v>
      </c>
      <c r="X114" s="5">
        <v>0</v>
      </c>
      <c r="Y114" s="5">
        <v>0</v>
      </c>
      <c r="Z114" s="5">
        <v>0</v>
      </c>
      <c r="AA114" s="8">
        <f>SUM(B114:Z114)</f>
        <v>34521</v>
      </c>
    </row>
    <row r="115" spans="1:27" x14ac:dyDescent="0.25">
      <c r="A115" s="5" t="s">
        <v>101</v>
      </c>
      <c r="B115" s="5">
        <v>6547</v>
      </c>
      <c r="C115" s="5">
        <v>2018</v>
      </c>
      <c r="D115" s="5">
        <v>0</v>
      </c>
      <c r="E115" s="5">
        <v>0</v>
      </c>
      <c r="F115" s="5">
        <v>1047</v>
      </c>
      <c r="G115" s="5">
        <v>286</v>
      </c>
      <c r="H115" s="5">
        <v>3085</v>
      </c>
      <c r="I115" s="5">
        <v>91</v>
      </c>
      <c r="J115" s="5">
        <v>0</v>
      </c>
      <c r="K115" s="5">
        <v>71</v>
      </c>
      <c r="L115" s="5">
        <v>190</v>
      </c>
      <c r="M115" s="5">
        <v>0</v>
      </c>
      <c r="N115" s="5">
        <v>7668</v>
      </c>
      <c r="O115" s="5">
        <v>0</v>
      </c>
      <c r="P115" s="5">
        <v>70</v>
      </c>
      <c r="Q115" s="5">
        <v>6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8">
        <f>SUM(B115:Z115)</f>
        <v>21079</v>
      </c>
    </row>
    <row r="116" spans="1:27" x14ac:dyDescent="0.25">
      <c r="A116" s="5" t="s">
        <v>70</v>
      </c>
      <c r="B116" s="5">
        <v>6324</v>
      </c>
      <c r="C116" s="5">
        <v>823</v>
      </c>
      <c r="D116" s="5">
        <v>0</v>
      </c>
      <c r="E116" s="5">
        <v>0</v>
      </c>
      <c r="F116" s="5">
        <v>0</v>
      </c>
      <c r="G116" s="5">
        <v>32</v>
      </c>
      <c r="H116" s="5">
        <v>2080</v>
      </c>
      <c r="I116" s="5">
        <v>0</v>
      </c>
      <c r="J116" s="5">
        <v>0</v>
      </c>
      <c r="K116" s="5">
        <v>13</v>
      </c>
      <c r="L116" s="5">
        <v>50</v>
      </c>
      <c r="M116" s="5">
        <v>0</v>
      </c>
      <c r="N116" s="5">
        <v>3431</v>
      </c>
      <c r="O116" s="5">
        <v>3</v>
      </c>
      <c r="P116" s="5">
        <v>10</v>
      </c>
      <c r="Q116" s="5">
        <v>3</v>
      </c>
      <c r="R116" s="5">
        <v>0</v>
      </c>
      <c r="S116" s="5">
        <v>0</v>
      </c>
      <c r="T116" s="5">
        <v>11</v>
      </c>
      <c r="U116" s="5">
        <v>0</v>
      </c>
      <c r="V116" s="5">
        <v>0</v>
      </c>
      <c r="W116" s="5">
        <v>55</v>
      </c>
      <c r="X116" s="5">
        <v>0</v>
      </c>
      <c r="Y116" s="5">
        <v>0</v>
      </c>
      <c r="Z116" s="5">
        <v>0</v>
      </c>
      <c r="AA116" s="8">
        <f>SUM(B116:Z116)</f>
        <v>12835</v>
      </c>
    </row>
    <row r="117" spans="1:27" x14ac:dyDescent="0.25">
      <c r="A117" s="5" t="s">
        <v>30</v>
      </c>
      <c r="B117" s="5">
        <v>6310</v>
      </c>
      <c r="C117" s="5">
        <v>1782</v>
      </c>
      <c r="D117" s="5">
        <v>0</v>
      </c>
      <c r="E117" s="5">
        <v>0</v>
      </c>
      <c r="F117" s="5">
        <v>0</v>
      </c>
      <c r="G117" s="5">
        <v>18</v>
      </c>
      <c r="H117" s="5">
        <v>1847</v>
      </c>
      <c r="I117" s="5">
        <v>0</v>
      </c>
      <c r="J117" s="5">
        <v>0</v>
      </c>
      <c r="K117" s="5">
        <v>34</v>
      </c>
      <c r="L117" s="5">
        <v>119</v>
      </c>
      <c r="M117" s="5">
        <v>0</v>
      </c>
      <c r="N117" s="5">
        <v>827</v>
      </c>
      <c r="O117" s="5">
        <v>4</v>
      </c>
      <c r="P117" s="5">
        <v>109</v>
      </c>
      <c r="Q117" s="5">
        <v>8</v>
      </c>
      <c r="R117" s="5">
        <v>0</v>
      </c>
      <c r="S117" s="5">
        <v>0</v>
      </c>
      <c r="T117" s="5">
        <v>0</v>
      </c>
      <c r="U117" s="5">
        <v>15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8">
        <f>SUM(B117:Z117)</f>
        <v>11073</v>
      </c>
    </row>
    <row r="118" spans="1:27" x14ac:dyDescent="0.25">
      <c r="A118" s="5" t="s">
        <v>106</v>
      </c>
      <c r="B118" s="5">
        <v>6085</v>
      </c>
      <c r="C118" s="5">
        <v>7151</v>
      </c>
      <c r="D118" s="5">
        <v>0</v>
      </c>
      <c r="E118" s="5">
        <v>0</v>
      </c>
      <c r="F118" s="5">
        <v>1799</v>
      </c>
      <c r="G118" s="5">
        <v>233</v>
      </c>
      <c r="H118" s="5">
        <v>1788</v>
      </c>
      <c r="I118" s="5">
        <v>0</v>
      </c>
      <c r="J118" s="5">
        <v>0</v>
      </c>
      <c r="K118" s="5">
        <v>122</v>
      </c>
      <c r="L118" s="5">
        <v>473</v>
      </c>
      <c r="M118" s="5">
        <v>0</v>
      </c>
      <c r="N118" s="5">
        <v>10529</v>
      </c>
      <c r="O118" s="5">
        <v>36</v>
      </c>
      <c r="P118" s="5">
        <v>158</v>
      </c>
      <c r="Q118" s="5">
        <v>3</v>
      </c>
      <c r="R118" s="5">
        <v>0</v>
      </c>
      <c r="S118" s="5">
        <v>0</v>
      </c>
      <c r="T118" s="5">
        <v>0</v>
      </c>
      <c r="U118" s="5">
        <v>1</v>
      </c>
      <c r="V118" s="5">
        <v>0</v>
      </c>
      <c r="W118" s="5">
        <v>42</v>
      </c>
      <c r="X118" s="5">
        <v>0</v>
      </c>
      <c r="Y118" s="5">
        <v>0</v>
      </c>
      <c r="Z118" s="5">
        <v>0</v>
      </c>
      <c r="AA118" s="8">
        <f>SUM(B118:Z118)</f>
        <v>28420</v>
      </c>
    </row>
    <row r="119" spans="1:27" x14ac:dyDescent="0.25">
      <c r="A119" s="5" t="s">
        <v>66</v>
      </c>
      <c r="B119" s="5">
        <v>5724</v>
      </c>
      <c r="C119" s="5">
        <v>1097</v>
      </c>
      <c r="D119" s="5">
        <v>0</v>
      </c>
      <c r="E119" s="5">
        <v>0</v>
      </c>
      <c r="F119" s="5">
        <v>5542</v>
      </c>
      <c r="G119" s="5">
        <v>478</v>
      </c>
      <c r="H119" s="5">
        <v>2003</v>
      </c>
      <c r="I119" s="5">
        <v>0</v>
      </c>
      <c r="J119" s="5">
        <v>0</v>
      </c>
      <c r="K119" s="5">
        <v>45</v>
      </c>
      <c r="L119" s="5">
        <v>91</v>
      </c>
      <c r="M119" s="5">
        <v>2</v>
      </c>
      <c r="N119" s="5">
        <v>810</v>
      </c>
      <c r="O119" s="5">
        <v>46</v>
      </c>
      <c r="P119" s="5">
        <v>153</v>
      </c>
      <c r="Q119" s="5">
        <v>15</v>
      </c>
      <c r="R119" s="5">
        <v>0</v>
      </c>
      <c r="S119" s="5">
        <v>0</v>
      </c>
      <c r="T119" s="5">
        <v>0</v>
      </c>
      <c r="U119" s="5">
        <v>7</v>
      </c>
      <c r="V119" s="5">
        <v>0</v>
      </c>
      <c r="W119" s="5">
        <v>6</v>
      </c>
      <c r="X119" s="5">
        <v>0</v>
      </c>
      <c r="Y119" s="5">
        <v>0</v>
      </c>
      <c r="Z119" s="5">
        <v>0</v>
      </c>
      <c r="AA119" s="8">
        <f>SUM(B119:Z119)</f>
        <v>16019</v>
      </c>
    </row>
    <row r="120" spans="1:27" x14ac:dyDescent="0.25">
      <c r="A120" s="5" t="s">
        <v>57</v>
      </c>
      <c r="B120" s="5">
        <v>5714</v>
      </c>
      <c r="C120" s="5">
        <v>12361</v>
      </c>
      <c r="D120" s="5">
        <v>0</v>
      </c>
      <c r="E120" s="5">
        <v>0</v>
      </c>
      <c r="F120" s="5">
        <v>0</v>
      </c>
      <c r="G120" s="5">
        <v>133</v>
      </c>
      <c r="H120" s="5">
        <v>4013</v>
      </c>
      <c r="I120" s="5">
        <v>0</v>
      </c>
      <c r="J120" s="5">
        <v>0</v>
      </c>
      <c r="K120" s="5">
        <v>13</v>
      </c>
      <c r="L120" s="5">
        <v>109</v>
      </c>
      <c r="M120" s="5">
        <v>2</v>
      </c>
      <c r="N120" s="5">
        <v>13990</v>
      </c>
      <c r="O120" s="5">
        <v>0</v>
      </c>
      <c r="P120" s="5">
        <v>6</v>
      </c>
      <c r="Q120" s="5">
        <v>5</v>
      </c>
      <c r="R120" s="5">
        <v>0</v>
      </c>
      <c r="S120" s="5">
        <v>0</v>
      </c>
      <c r="T120" s="5">
        <v>0</v>
      </c>
      <c r="U120" s="5">
        <v>38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8">
        <f>SUM(B120:Z120)</f>
        <v>36384</v>
      </c>
    </row>
    <row r="121" spans="1:27" x14ac:dyDescent="0.25">
      <c r="A121" s="5" t="s">
        <v>231</v>
      </c>
      <c r="B121" s="5">
        <v>5632</v>
      </c>
      <c r="C121" s="5">
        <v>8150</v>
      </c>
      <c r="D121" s="5">
        <v>4802</v>
      </c>
      <c r="E121" s="5">
        <v>2563</v>
      </c>
      <c r="F121" s="5">
        <v>4014</v>
      </c>
      <c r="G121" s="5">
        <v>1023</v>
      </c>
      <c r="H121" s="5">
        <v>3061</v>
      </c>
      <c r="I121" s="5">
        <v>0</v>
      </c>
      <c r="J121" s="5">
        <v>0</v>
      </c>
      <c r="K121" s="5">
        <v>100</v>
      </c>
      <c r="L121" s="5">
        <v>1300</v>
      </c>
      <c r="M121" s="5">
        <v>0</v>
      </c>
      <c r="N121" s="5">
        <v>0</v>
      </c>
      <c r="O121" s="5">
        <v>0</v>
      </c>
      <c r="P121" s="5">
        <v>0</v>
      </c>
      <c r="Q121" s="5">
        <v>8</v>
      </c>
      <c r="R121" s="5">
        <v>1</v>
      </c>
      <c r="S121" s="5">
        <v>0</v>
      </c>
      <c r="T121" s="5">
        <v>26</v>
      </c>
      <c r="U121" s="5">
        <v>39</v>
      </c>
      <c r="V121" s="5">
        <v>0</v>
      </c>
      <c r="W121" s="5">
        <v>142</v>
      </c>
      <c r="X121" s="5">
        <v>0</v>
      </c>
      <c r="Y121" s="5">
        <v>0</v>
      </c>
      <c r="Z121" s="5">
        <v>0</v>
      </c>
      <c r="AA121" s="8">
        <f>SUM(B121:Z121)</f>
        <v>30861</v>
      </c>
    </row>
    <row r="122" spans="1:27" x14ac:dyDescent="0.25">
      <c r="A122" s="5" t="s">
        <v>4</v>
      </c>
      <c r="B122" s="5">
        <v>5269</v>
      </c>
      <c r="C122" s="5">
        <v>604</v>
      </c>
      <c r="D122" s="5">
        <v>0</v>
      </c>
      <c r="E122" s="5">
        <v>0</v>
      </c>
      <c r="F122" s="5">
        <v>393</v>
      </c>
      <c r="G122" s="5">
        <v>81</v>
      </c>
      <c r="H122" s="5">
        <v>2504</v>
      </c>
      <c r="I122" s="5">
        <v>0</v>
      </c>
      <c r="J122" s="5">
        <v>0</v>
      </c>
      <c r="K122" s="5">
        <v>54</v>
      </c>
      <c r="L122" s="5">
        <v>252</v>
      </c>
      <c r="M122" s="5">
        <v>0</v>
      </c>
      <c r="N122" s="5">
        <v>0</v>
      </c>
      <c r="O122" s="5">
        <v>22</v>
      </c>
      <c r="P122" s="5">
        <v>0</v>
      </c>
      <c r="Q122" s="5">
        <v>50</v>
      </c>
      <c r="R122" s="5">
        <v>0</v>
      </c>
      <c r="S122" s="5">
        <v>0</v>
      </c>
      <c r="T122" s="5">
        <v>0</v>
      </c>
      <c r="U122" s="5">
        <v>74</v>
      </c>
      <c r="V122" s="5">
        <v>0</v>
      </c>
      <c r="W122" s="5">
        <v>56</v>
      </c>
      <c r="X122" s="5">
        <v>0</v>
      </c>
      <c r="Y122" s="5">
        <v>0</v>
      </c>
      <c r="Z122" s="5">
        <v>0</v>
      </c>
      <c r="AA122" s="8">
        <f>SUM(B122:Z122)</f>
        <v>9359</v>
      </c>
    </row>
    <row r="123" spans="1:27" x14ac:dyDescent="0.25">
      <c r="A123" s="5" t="s">
        <v>233</v>
      </c>
      <c r="B123" s="5">
        <v>5117</v>
      </c>
      <c r="C123" s="5">
        <v>5906</v>
      </c>
      <c r="D123" s="5">
        <v>5146</v>
      </c>
      <c r="E123" s="5">
        <v>6046</v>
      </c>
      <c r="F123" s="5">
        <v>5139</v>
      </c>
      <c r="G123" s="5">
        <v>108</v>
      </c>
      <c r="H123" s="5">
        <v>2041</v>
      </c>
      <c r="I123" s="5">
        <v>0</v>
      </c>
      <c r="J123" s="5">
        <v>0</v>
      </c>
      <c r="K123" s="5">
        <v>205</v>
      </c>
      <c r="L123" s="5">
        <v>1498</v>
      </c>
      <c r="M123" s="5">
        <v>0</v>
      </c>
      <c r="N123" s="5">
        <v>0</v>
      </c>
      <c r="O123" s="5">
        <v>64</v>
      </c>
      <c r="P123" s="5">
        <v>164</v>
      </c>
      <c r="Q123" s="5">
        <v>36</v>
      </c>
      <c r="R123" s="5">
        <v>18</v>
      </c>
      <c r="S123" s="5">
        <v>0</v>
      </c>
      <c r="T123" s="5">
        <v>0</v>
      </c>
      <c r="U123" s="5">
        <v>1</v>
      </c>
      <c r="V123" s="5">
        <v>0</v>
      </c>
      <c r="W123" s="5">
        <v>3</v>
      </c>
      <c r="X123" s="5">
        <v>0</v>
      </c>
      <c r="Y123" s="5">
        <v>0</v>
      </c>
      <c r="Z123" s="5">
        <v>0</v>
      </c>
      <c r="AA123" s="8">
        <f>SUM(B123:Z123)</f>
        <v>31492</v>
      </c>
    </row>
    <row r="124" spans="1:27" x14ac:dyDescent="0.25">
      <c r="A124" s="5" t="s">
        <v>53</v>
      </c>
      <c r="B124" s="5">
        <v>4860</v>
      </c>
      <c r="C124" s="5">
        <v>32218</v>
      </c>
      <c r="D124" s="5">
        <v>0</v>
      </c>
      <c r="E124" s="5">
        <v>0</v>
      </c>
      <c r="F124" s="5">
        <v>194</v>
      </c>
      <c r="G124" s="5">
        <v>77</v>
      </c>
      <c r="H124" s="5">
        <v>5428</v>
      </c>
      <c r="I124" s="5">
        <v>0</v>
      </c>
      <c r="J124" s="5">
        <v>81</v>
      </c>
      <c r="K124" s="5">
        <v>897</v>
      </c>
      <c r="L124" s="5">
        <v>4242</v>
      </c>
      <c r="M124" s="5">
        <v>36</v>
      </c>
      <c r="N124" s="5">
        <v>7403</v>
      </c>
      <c r="O124" s="5">
        <v>3</v>
      </c>
      <c r="P124" s="5">
        <v>0</v>
      </c>
      <c r="Q124" s="5">
        <v>23</v>
      </c>
      <c r="R124" s="5">
        <v>0</v>
      </c>
      <c r="S124" s="5">
        <v>0</v>
      </c>
      <c r="T124" s="5">
        <v>1305</v>
      </c>
      <c r="U124" s="5">
        <v>27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8">
        <f>SUM(B124:Z124)</f>
        <v>56794</v>
      </c>
    </row>
    <row r="125" spans="1:27" x14ac:dyDescent="0.25">
      <c r="A125" s="5" t="s">
        <v>102</v>
      </c>
      <c r="B125" s="5">
        <v>4823</v>
      </c>
      <c r="C125" s="5">
        <v>11954</v>
      </c>
      <c r="D125" s="5">
        <v>1</v>
      </c>
      <c r="E125" s="5">
        <v>0</v>
      </c>
      <c r="F125" s="5">
        <v>936</v>
      </c>
      <c r="G125" s="5">
        <v>7</v>
      </c>
      <c r="H125" s="5">
        <v>2241</v>
      </c>
      <c r="I125" s="5">
        <v>0</v>
      </c>
      <c r="J125" s="5">
        <v>0</v>
      </c>
      <c r="K125" s="5">
        <v>41</v>
      </c>
      <c r="L125" s="5">
        <v>264</v>
      </c>
      <c r="M125" s="5">
        <v>0</v>
      </c>
      <c r="N125" s="5">
        <v>20454</v>
      </c>
      <c r="O125" s="5">
        <v>0</v>
      </c>
      <c r="P125" s="5">
        <v>1</v>
      </c>
      <c r="Q125" s="5">
        <v>1</v>
      </c>
      <c r="R125" s="5">
        <v>0</v>
      </c>
      <c r="S125" s="5">
        <v>0</v>
      </c>
      <c r="T125" s="5">
        <v>1</v>
      </c>
      <c r="U125" s="5">
        <v>4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8">
        <f>SUM(B125:Z125)</f>
        <v>40728</v>
      </c>
    </row>
    <row r="126" spans="1:27" x14ac:dyDescent="0.25">
      <c r="A126" s="5" t="s">
        <v>226</v>
      </c>
      <c r="B126" s="5">
        <v>4285</v>
      </c>
      <c r="C126" s="5">
        <v>5719</v>
      </c>
      <c r="D126" s="5">
        <v>5745</v>
      </c>
      <c r="E126" s="5">
        <v>6</v>
      </c>
      <c r="F126" s="5">
        <v>494</v>
      </c>
      <c r="G126" s="5">
        <v>213</v>
      </c>
      <c r="H126" s="5">
        <v>4108</v>
      </c>
      <c r="I126" s="5">
        <v>0</v>
      </c>
      <c r="J126" s="5">
        <v>0</v>
      </c>
      <c r="K126" s="5">
        <v>149</v>
      </c>
      <c r="L126" s="5">
        <v>602</v>
      </c>
      <c r="M126" s="5">
        <v>0</v>
      </c>
      <c r="N126" s="5">
        <v>1723</v>
      </c>
      <c r="O126" s="5">
        <v>0</v>
      </c>
      <c r="P126" s="5">
        <v>3</v>
      </c>
      <c r="Q126" s="5">
        <v>0</v>
      </c>
      <c r="R126" s="5">
        <v>0</v>
      </c>
      <c r="S126" s="5">
        <v>0</v>
      </c>
      <c r="T126" s="5">
        <v>0</v>
      </c>
      <c r="U126" s="5">
        <v>43</v>
      </c>
      <c r="V126" s="5">
        <v>0</v>
      </c>
      <c r="W126" s="5">
        <v>241</v>
      </c>
      <c r="X126" s="5">
        <v>0</v>
      </c>
      <c r="Y126" s="5">
        <v>1</v>
      </c>
      <c r="Z126" s="5">
        <v>0</v>
      </c>
      <c r="AA126" s="8">
        <f>SUM(B126:Z126)</f>
        <v>23332</v>
      </c>
    </row>
    <row r="127" spans="1:27" x14ac:dyDescent="0.25">
      <c r="A127" s="5" t="s">
        <v>241</v>
      </c>
      <c r="B127" s="5">
        <v>4270</v>
      </c>
      <c r="C127" s="5">
        <v>12779</v>
      </c>
      <c r="D127" s="5">
        <v>11671</v>
      </c>
      <c r="E127" s="5">
        <v>0</v>
      </c>
      <c r="F127" s="5">
        <v>258</v>
      </c>
      <c r="G127" s="5">
        <v>675</v>
      </c>
      <c r="H127" s="5">
        <v>1813</v>
      </c>
      <c r="I127" s="5">
        <v>0</v>
      </c>
      <c r="J127" s="5">
        <v>0</v>
      </c>
      <c r="K127" s="5">
        <v>114</v>
      </c>
      <c r="L127" s="5">
        <v>662</v>
      </c>
      <c r="M127" s="5">
        <v>0</v>
      </c>
      <c r="N127" s="5">
        <v>843</v>
      </c>
      <c r="O127" s="5">
        <v>6</v>
      </c>
      <c r="P127" s="5">
        <v>38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1</v>
      </c>
      <c r="X127" s="5">
        <v>0</v>
      </c>
      <c r="Y127" s="5">
        <v>0</v>
      </c>
      <c r="Z127" s="5">
        <v>0</v>
      </c>
      <c r="AA127" s="8">
        <f>SUM(B127:Z127)</f>
        <v>33130</v>
      </c>
    </row>
    <row r="128" spans="1:27" x14ac:dyDescent="0.25">
      <c r="A128" s="5" t="s">
        <v>32</v>
      </c>
      <c r="B128" s="5">
        <v>4020</v>
      </c>
      <c r="C128" s="5">
        <v>3220</v>
      </c>
      <c r="D128" s="5">
        <v>0</v>
      </c>
      <c r="E128" s="5">
        <v>0</v>
      </c>
      <c r="F128" s="5">
        <v>5485</v>
      </c>
      <c r="G128" s="5">
        <v>0</v>
      </c>
      <c r="H128" s="5">
        <v>2101</v>
      </c>
      <c r="I128" s="5">
        <v>0</v>
      </c>
      <c r="J128" s="5">
        <v>0</v>
      </c>
      <c r="K128" s="5">
        <v>182</v>
      </c>
      <c r="L128" s="5">
        <v>858</v>
      </c>
      <c r="M128" s="5">
        <v>0</v>
      </c>
      <c r="N128" s="5">
        <v>521</v>
      </c>
      <c r="O128" s="5">
        <v>0</v>
      </c>
      <c r="P128" s="5">
        <v>130</v>
      </c>
      <c r="Q128" s="5">
        <v>0</v>
      </c>
      <c r="R128" s="5">
        <v>0</v>
      </c>
      <c r="S128" s="5">
        <v>0</v>
      </c>
      <c r="T128" s="5">
        <v>0</v>
      </c>
      <c r="U128" s="5">
        <v>18</v>
      </c>
      <c r="V128" s="5">
        <v>0</v>
      </c>
      <c r="W128" s="5">
        <v>3</v>
      </c>
      <c r="X128" s="5">
        <v>0</v>
      </c>
      <c r="Y128" s="5">
        <v>0</v>
      </c>
      <c r="Z128" s="5">
        <v>0</v>
      </c>
      <c r="AA128" s="8">
        <f>SUM(B128:Z128)</f>
        <v>16538</v>
      </c>
    </row>
    <row r="129" spans="1:27" x14ac:dyDescent="0.25">
      <c r="A129" s="5" t="s">
        <v>110</v>
      </c>
      <c r="B129" s="5">
        <v>3867</v>
      </c>
      <c r="C129" s="5">
        <v>6111</v>
      </c>
      <c r="D129" s="5">
        <v>0</v>
      </c>
      <c r="E129" s="5">
        <v>0</v>
      </c>
      <c r="F129" s="5">
        <v>848</v>
      </c>
      <c r="G129" s="5">
        <v>40</v>
      </c>
      <c r="H129" s="5">
        <v>2933</v>
      </c>
      <c r="I129" s="5">
        <v>0</v>
      </c>
      <c r="J129" s="5">
        <v>0</v>
      </c>
      <c r="K129" s="5">
        <v>76</v>
      </c>
      <c r="L129" s="5">
        <v>361</v>
      </c>
      <c r="M129" s="5">
        <v>1</v>
      </c>
      <c r="N129" s="5">
        <v>13806</v>
      </c>
      <c r="O129" s="5">
        <v>3</v>
      </c>
      <c r="P129" s="5">
        <v>261</v>
      </c>
      <c r="Q129" s="5">
        <v>2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8">
        <f>SUM(B129:Z129)</f>
        <v>28309</v>
      </c>
    </row>
    <row r="130" spans="1:27" x14ac:dyDescent="0.25">
      <c r="A130" s="5" t="s">
        <v>123</v>
      </c>
      <c r="B130" s="5">
        <v>3777</v>
      </c>
      <c r="C130" s="5">
        <v>6286</v>
      </c>
      <c r="D130" s="5">
        <v>0</v>
      </c>
      <c r="E130" s="5">
        <v>0</v>
      </c>
      <c r="F130" s="5">
        <v>461</v>
      </c>
      <c r="G130" s="5">
        <v>341</v>
      </c>
      <c r="H130" s="5">
        <v>2355</v>
      </c>
      <c r="I130" s="5">
        <v>0</v>
      </c>
      <c r="J130" s="5">
        <v>0</v>
      </c>
      <c r="K130" s="5">
        <v>16</v>
      </c>
      <c r="L130" s="5">
        <v>199</v>
      </c>
      <c r="M130" s="5">
        <v>0</v>
      </c>
      <c r="N130" s="5">
        <v>5991</v>
      </c>
      <c r="O130" s="5">
        <v>2</v>
      </c>
      <c r="P130" s="5">
        <v>0</v>
      </c>
      <c r="Q130" s="5">
        <v>6</v>
      </c>
      <c r="R130" s="5">
        <v>7</v>
      </c>
      <c r="S130" s="5">
        <v>0</v>
      </c>
      <c r="T130" s="5">
        <v>0</v>
      </c>
      <c r="U130" s="5">
        <v>0</v>
      </c>
      <c r="V130" s="5">
        <v>0</v>
      </c>
      <c r="W130" s="5">
        <v>94</v>
      </c>
      <c r="X130" s="5">
        <v>0</v>
      </c>
      <c r="Y130" s="5">
        <v>0</v>
      </c>
      <c r="Z130" s="5">
        <v>0</v>
      </c>
      <c r="AA130" s="8">
        <f>SUM(B130:Z130)</f>
        <v>19535</v>
      </c>
    </row>
    <row r="131" spans="1:27" x14ac:dyDescent="0.25">
      <c r="A131" s="5" t="s">
        <v>265</v>
      </c>
      <c r="B131" s="5">
        <v>3382</v>
      </c>
      <c r="C131" s="5">
        <v>15759</v>
      </c>
      <c r="D131" s="5">
        <v>1393</v>
      </c>
      <c r="E131" s="5">
        <v>482</v>
      </c>
      <c r="F131" s="5">
        <v>93</v>
      </c>
      <c r="G131" s="5">
        <v>25</v>
      </c>
      <c r="H131" s="5">
        <v>1830</v>
      </c>
      <c r="I131" s="5">
        <v>0</v>
      </c>
      <c r="J131" s="5">
        <v>0</v>
      </c>
      <c r="K131" s="5">
        <v>27</v>
      </c>
      <c r="L131" s="5">
        <v>108</v>
      </c>
      <c r="M131" s="5">
        <v>0</v>
      </c>
      <c r="N131" s="5">
        <v>11889</v>
      </c>
      <c r="O131" s="5">
        <v>48</v>
      </c>
      <c r="P131" s="5">
        <v>0</v>
      </c>
      <c r="Q131" s="5">
        <v>4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23</v>
      </c>
      <c r="X131" s="5">
        <v>0</v>
      </c>
      <c r="Y131" s="5">
        <v>0</v>
      </c>
      <c r="Z131" s="5">
        <v>40</v>
      </c>
      <c r="AA131" s="8">
        <f>SUM(B131:Z131)</f>
        <v>35103</v>
      </c>
    </row>
    <row r="132" spans="1:27" x14ac:dyDescent="0.25">
      <c r="A132" s="5" t="s">
        <v>250</v>
      </c>
      <c r="B132" s="5">
        <v>3283</v>
      </c>
      <c r="C132" s="5">
        <v>12261</v>
      </c>
      <c r="D132" s="5">
        <v>5</v>
      </c>
      <c r="E132" s="5">
        <v>0</v>
      </c>
      <c r="F132" s="5">
        <v>0</v>
      </c>
      <c r="G132" s="5">
        <v>529</v>
      </c>
      <c r="H132" s="5">
        <v>2050</v>
      </c>
      <c r="I132" s="5">
        <v>0</v>
      </c>
      <c r="J132" s="5">
        <v>0</v>
      </c>
      <c r="K132" s="5">
        <v>20</v>
      </c>
      <c r="L132" s="5">
        <v>70</v>
      </c>
      <c r="M132" s="5">
        <v>0</v>
      </c>
      <c r="N132" s="5">
        <v>7547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59</v>
      </c>
      <c r="X132" s="5">
        <v>0</v>
      </c>
      <c r="Y132" s="5">
        <v>0</v>
      </c>
      <c r="Z132" s="5">
        <v>0</v>
      </c>
      <c r="AA132" s="8">
        <f>SUM(B132:Z132)</f>
        <v>25824</v>
      </c>
    </row>
    <row r="133" spans="1:27" x14ac:dyDescent="0.25">
      <c r="A133" s="5" t="s">
        <v>13</v>
      </c>
      <c r="B133" s="5">
        <v>3244</v>
      </c>
      <c r="C133" s="5">
        <v>489</v>
      </c>
      <c r="D133" s="5">
        <v>0</v>
      </c>
      <c r="E133" s="5">
        <v>0</v>
      </c>
      <c r="F133" s="5">
        <v>0</v>
      </c>
      <c r="G133" s="5">
        <v>7</v>
      </c>
      <c r="H133" s="5">
        <v>6824</v>
      </c>
      <c r="I133" s="5">
        <v>0</v>
      </c>
      <c r="J133" s="5">
        <v>0</v>
      </c>
      <c r="K133" s="5">
        <v>46</v>
      </c>
      <c r="L133" s="5">
        <v>81</v>
      </c>
      <c r="M133" s="5">
        <v>0</v>
      </c>
      <c r="N133" s="5">
        <v>2872</v>
      </c>
      <c r="O133" s="5">
        <v>5</v>
      </c>
      <c r="P133" s="5">
        <v>7</v>
      </c>
      <c r="Q133" s="5">
        <v>106</v>
      </c>
      <c r="R133" s="5">
        <v>0</v>
      </c>
      <c r="S133" s="5">
        <v>0</v>
      </c>
      <c r="T133" s="5">
        <v>0</v>
      </c>
      <c r="U133" s="5">
        <v>14</v>
      </c>
      <c r="V133" s="5">
        <v>0</v>
      </c>
      <c r="W133" s="5">
        <v>33</v>
      </c>
      <c r="X133" s="5">
        <v>0</v>
      </c>
      <c r="Y133" s="5">
        <v>0</v>
      </c>
      <c r="Z133" s="5">
        <v>0</v>
      </c>
      <c r="AA133" s="8">
        <f>SUM(B133:Z133)</f>
        <v>13728</v>
      </c>
    </row>
    <row r="134" spans="1:27" x14ac:dyDescent="0.25">
      <c r="A134" s="5" t="s">
        <v>91</v>
      </c>
      <c r="B134" s="5">
        <v>3226</v>
      </c>
      <c r="C134" s="5">
        <v>243</v>
      </c>
      <c r="D134" s="5">
        <v>0</v>
      </c>
      <c r="E134" s="5">
        <v>0</v>
      </c>
      <c r="F134" s="5">
        <v>1040</v>
      </c>
      <c r="G134" s="5">
        <v>27</v>
      </c>
      <c r="H134" s="5">
        <v>2869</v>
      </c>
      <c r="I134" s="5">
        <v>0</v>
      </c>
      <c r="J134" s="5">
        <v>0</v>
      </c>
      <c r="K134" s="5">
        <v>24</v>
      </c>
      <c r="L134" s="5">
        <v>59</v>
      </c>
      <c r="M134" s="5">
        <v>0</v>
      </c>
      <c r="N134" s="5">
        <v>0</v>
      </c>
      <c r="O134" s="5">
        <v>0</v>
      </c>
      <c r="P134" s="5">
        <v>5</v>
      </c>
      <c r="Q134" s="5">
        <v>69</v>
      </c>
      <c r="R134" s="5">
        <v>0</v>
      </c>
      <c r="S134" s="5">
        <v>0</v>
      </c>
      <c r="T134" s="5">
        <v>0</v>
      </c>
      <c r="U134" s="5">
        <v>5</v>
      </c>
      <c r="V134" s="5">
        <v>0</v>
      </c>
      <c r="W134" s="5">
        <v>109</v>
      </c>
      <c r="X134" s="5">
        <v>0</v>
      </c>
      <c r="Y134" s="5">
        <v>0</v>
      </c>
      <c r="Z134" s="5">
        <v>0</v>
      </c>
      <c r="AA134" s="8">
        <f>SUM(B134:Z134)</f>
        <v>7676</v>
      </c>
    </row>
    <row r="135" spans="1:27" x14ac:dyDescent="0.25">
      <c r="A135" s="5" t="s">
        <v>238</v>
      </c>
      <c r="B135" s="5">
        <v>2688</v>
      </c>
      <c r="C135" s="5">
        <v>17053</v>
      </c>
      <c r="D135" s="5">
        <v>3282</v>
      </c>
      <c r="E135" s="5">
        <v>5820</v>
      </c>
      <c r="F135" s="5">
        <v>3078</v>
      </c>
      <c r="G135" s="5">
        <v>692</v>
      </c>
      <c r="H135" s="5">
        <v>1707</v>
      </c>
      <c r="I135" s="5">
        <v>0</v>
      </c>
      <c r="J135" s="5">
        <v>0</v>
      </c>
      <c r="K135" s="5">
        <v>20</v>
      </c>
      <c r="L135" s="5">
        <v>782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2062</v>
      </c>
      <c r="U135" s="5">
        <v>4</v>
      </c>
      <c r="V135" s="5">
        <v>0</v>
      </c>
      <c r="W135" s="5">
        <v>74</v>
      </c>
      <c r="X135" s="5">
        <v>0</v>
      </c>
      <c r="Y135" s="5">
        <v>0</v>
      </c>
      <c r="Z135" s="5">
        <v>0</v>
      </c>
      <c r="AA135" s="8">
        <f>SUM(B135:Z135)</f>
        <v>37262</v>
      </c>
    </row>
    <row r="136" spans="1:27" x14ac:dyDescent="0.25">
      <c r="A136" s="5" t="s">
        <v>221</v>
      </c>
      <c r="B136" s="5">
        <v>2508</v>
      </c>
      <c r="C136" s="5">
        <v>918</v>
      </c>
      <c r="D136" s="5">
        <v>0</v>
      </c>
      <c r="E136" s="5">
        <v>301</v>
      </c>
      <c r="F136" s="5">
        <v>279</v>
      </c>
      <c r="G136" s="5">
        <v>211</v>
      </c>
      <c r="H136" s="5">
        <v>3303</v>
      </c>
      <c r="I136" s="5">
        <v>0</v>
      </c>
      <c r="J136" s="5">
        <v>0</v>
      </c>
      <c r="K136" s="5">
        <v>70</v>
      </c>
      <c r="L136" s="5">
        <v>199</v>
      </c>
      <c r="M136" s="5">
        <v>0</v>
      </c>
      <c r="N136" s="5">
        <v>0</v>
      </c>
      <c r="O136" s="5">
        <v>5</v>
      </c>
      <c r="P136" s="5">
        <v>43</v>
      </c>
      <c r="Q136" s="5">
        <v>86</v>
      </c>
      <c r="R136" s="5">
        <v>0</v>
      </c>
      <c r="S136" s="5">
        <v>0</v>
      </c>
      <c r="T136" s="5">
        <v>0</v>
      </c>
      <c r="U136" s="5">
        <v>22</v>
      </c>
      <c r="V136" s="5">
        <v>0</v>
      </c>
      <c r="W136" s="5">
        <v>17</v>
      </c>
      <c r="X136" s="5">
        <v>0</v>
      </c>
      <c r="Y136" s="5">
        <v>0</v>
      </c>
      <c r="Z136" s="5">
        <v>0</v>
      </c>
      <c r="AA136" s="8">
        <f>SUM(B136:Z136)</f>
        <v>7962</v>
      </c>
    </row>
    <row r="137" spans="1:27" x14ac:dyDescent="0.25">
      <c r="A137" s="5" t="s">
        <v>271</v>
      </c>
      <c r="B137" s="5">
        <v>2486</v>
      </c>
      <c r="C137" s="5">
        <v>12073</v>
      </c>
      <c r="D137" s="5">
        <v>2152</v>
      </c>
      <c r="E137" s="5">
        <v>470</v>
      </c>
      <c r="F137" s="5">
        <v>910</v>
      </c>
      <c r="G137" s="5">
        <v>9</v>
      </c>
      <c r="H137" s="5">
        <v>2796</v>
      </c>
      <c r="I137" s="5">
        <v>0</v>
      </c>
      <c r="J137" s="5">
        <v>0</v>
      </c>
      <c r="K137" s="5">
        <v>346</v>
      </c>
      <c r="L137" s="5">
        <v>6973</v>
      </c>
      <c r="M137" s="5">
        <v>0</v>
      </c>
      <c r="N137" s="5">
        <v>9101</v>
      </c>
      <c r="O137" s="5">
        <v>0</v>
      </c>
      <c r="P137" s="5">
        <v>0</v>
      </c>
      <c r="Q137" s="5">
        <v>110</v>
      </c>
      <c r="R137" s="5">
        <v>2</v>
      </c>
      <c r="S137" s="5">
        <v>0</v>
      </c>
      <c r="T137" s="5">
        <v>0</v>
      </c>
      <c r="U137" s="5">
        <v>0</v>
      </c>
      <c r="V137" s="5">
        <v>0</v>
      </c>
      <c r="W137" s="5">
        <v>32</v>
      </c>
      <c r="X137" s="5">
        <v>0</v>
      </c>
      <c r="Y137" s="5">
        <v>0</v>
      </c>
      <c r="Z137" s="5">
        <v>0</v>
      </c>
      <c r="AA137" s="8">
        <f>SUM(B137:Z137)</f>
        <v>37460</v>
      </c>
    </row>
    <row r="138" spans="1:27" x14ac:dyDescent="0.25">
      <c r="A138" s="5" t="s">
        <v>14</v>
      </c>
      <c r="B138" s="5">
        <v>2359</v>
      </c>
      <c r="C138" s="5">
        <v>1818</v>
      </c>
      <c r="D138" s="5">
        <v>0</v>
      </c>
      <c r="E138" s="5">
        <v>0</v>
      </c>
      <c r="F138" s="5">
        <v>0</v>
      </c>
      <c r="G138" s="5">
        <v>14</v>
      </c>
      <c r="H138" s="5">
        <v>3100</v>
      </c>
      <c r="I138" s="5">
        <v>0</v>
      </c>
      <c r="J138" s="5">
        <v>0</v>
      </c>
      <c r="K138" s="5">
        <v>10</v>
      </c>
      <c r="L138" s="5">
        <v>23</v>
      </c>
      <c r="M138" s="5">
        <v>0</v>
      </c>
      <c r="N138" s="5">
        <v>3848</v>
      </c>
      <c r="O138" s="5">
        <v>0</v>
      </c>
      <c r="P138" s="5">
        <v>13</v>
      </c>
      <c r="Q138" s="5">
        <v>8</v>
      </c>
      <c r="R138" s="5">
        <v>0</v>
      </c>
      <c r="S138" s="5">
        <v>0</v>
      </c>
      <c r="T138" s="5">
        <v>0</v>
      </c>
      <c r="U138" s="5">
        <v>29</v>
      </c>
      <c r="V138" s="5">
        <v>0</v>
      </c>
      <c r="W138" s="5">
        <v>2474</v>
      </c>
      <c r="X138" s="5">
        <v>0</v>
      </c>
      <c r="Y138" s="5">
        <v>0</v>
      </c>
      <c r="Z138" s="5">
        <v>0</v>
      </c>
      <c r="AA138" s="8">
        <f>SUM(B138:Z138)</f>
        <v>13696</v>
      </c>
    </row>
    <row r="139" spans="1:27" x14ac:dyDescent="0.25">
      <c r="A139" s="5" t="s">
        <v>59</v>
      </c>
      <c r="B139" s="5">
        <v>2276</v>
      </c>
      <c r="C139" s="5">
        <v>17196</v>
      </c>
      <c r="D139" s="5">
        <v>0</v>
      </c>
      <c r="E139" s="5">
        <v>0</v>
      </c>
      <c r="F139" s="5">
        <v>954</v>
      </c>
      <c r="G139" s="5">
        <v>21</v>
      </c>
      <c r="H139" s="5">
        <v>16239</v>
      </c>
      <c r="I139" s="5">
        <v>0</v>
      </c>
      <c r="J139" s="5">
        <v>0</v>
      </c>
      <c r="K139" s="5">
        <v>51</v>
      </c>
      <c r="L139" s="5">
        <v>192</v>
      </c>
      <c r="M139" s="5">
        <v>0</v>
      </c>
      <c r="N139" s="5">
        <v>18164</v>
      </c>
      <c r="O139" s="5">
        <v>2</v>
      </c>
      <c r="P139" s="5">
        <v>11</v>
      </c>
      <c r="Q139" s="5">
        <v>39</v>
      </c>
      <c r="R139" s="5">
        <v>0</v>
      </c>
      <c r="S139" s="5">
        <v>0</v>
      </c>
      <c r="T139" s="5">
        <v>0</v>
      </c>
      <c r="U139" s="5">
        <v>32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8">
        <f>SUM(B139:Z139)</f>
        <v>55177</v>
      </c>
    </row>
    <row r="140" spans="1:27" x14ac:dyDescent="0.25">
      <c r="A140" s="5" t="s">
        <v>87</v>
      </c>
      <c r="B140" s="5">
        <v>2240</v>
      </c>
      <c r="C140" s="5">
        <v>1313</v>
      </c>
      <c r="D140" s="5">
        <v>0</v>
      </c>
      <c r="E140" s="5">
        <v>0</v>
      </c>
      <c r="F140" s="5">
        <v>589</v>
      </c>
      <c r="G140" s="5">
        <v>34</v>
      </c>
      <c r="H140" s="5">
        <v>3055</v>
      </c>
      <c r="I140" s="5">
        <v>0</v>
      </c>
      <c r="J140" s="5">
        <v>0</v>
      </c>
      <c r="K140" s="5">
        <v>21</v>
      </c>
      <c r="L140" s="5">
        <v>31</v>
      </c>
      <c r="M140" s="5">
        <v>0</v>
      </c>
      <c r="N140" s="5">
        <v>3583</v>
      </c>
      <c r="O140" s="5">
        <v>0</v>
      </c>
      <c r="P140" s="5">
        <v>13</v>
      </c>
      <c r="Q140" s="5">
        <v>69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8</v>
      </c>
      <c r="X140" s="5">
        <v>0</v>
      </c>
      <c r="Y140" s="5">
        <v>0</v>
      </c>
      <c r="Z140" s="5">
        <v>0</v>
      </c>
      <c r="AA140" s="8">
        <f>SUM(B140:Z140)</f>
        <v>10956</v>
      </c>
    </row>
    <row r="141" spans="1:27" x14ac:dyDescent="0.25">
      <c r="A141" s="5" t="s">
        <v>202</v>
      </c>
      <c r="B141" s="5">
        <v>2091</v>
      </c>
      <c r="C141" s="5">
        <v>2741</v>
      </c>
      <c r="D141" s="5">
        <v>0</v>
      </c>
      <c r="E141" s="5">
        <v>0</v>
      </c>
      <c r="F141" s="5">
        <v>0</v>
      </c>
      <c r="G141" s="5">
        <v>67</v>
      </c>
      <c r="H141" s="5">
        <v>2948</v>
      </c>
      <c r="I141" s="5">
        <v>0</v>
      </c>
      <c r="J141" s="5">
        <v>0</v>
      </c>
      <c r="K141" s="5">
        <v>31</v>
      </c>
      <c r="L141" s="5">
        <v>136</v>
      </c>
      <c r="M141" s="5">
        <v>0</v>
      </c>
      <c r="N141" s="5">
        <v>2779</v>
      </c>
      <c r="O141" s="5">
        <v>0</v>
      </c>
      <c r="P141" s="5">
        <v>19</v>
      </c>
      <c r="Q141" s="5">
        <v>38</v>
      </c>
      <c r="R141" s="5">
        <v>0</v>
      </c>
      <c r="S141" s="5">
        <v>0</v>
      </c>
      <c r="T141" s="5">
        <v>0</v>
      </c>
      <c r="U141" s="5">
        <v>4</v>
      </c>
      <c r="V141" s="5">
        <v>0</v>
      </c>
      <c r="W141" s="5">
        <v>80</v>
      </c>
      <c r="X141" s="5">
        <v>0</v>
      </c>
      <c r="Y141" s="5">
        <v>0</v>
      </c>
      <c r="Z141" s="5">
        <v>0</v>
      </c>
      <c r="AA141" s="8">
        <f>SUM(B141:Z141)</f>
        <v>10934</v>
      </c>
    </row>
    <row r="142" spans="1:27" x14ac:dyDescent="0.25">
      <c r="A142" s="5" t="s">
        <v>217</v>
      </c>
      <c r="B142" s="5">
        <v>1888</v>
      </c>
      <c r="C142" s="5">
        <v>19085</v>
      </c>
      <c r="D142" s="5">
        <v>27875</v>
      </c>
      <c r="E142" s="5">
        <v>0</v>
      </c>
      <c r="F142" s="5">
        <v>122</v>
      </c>
      <c r="G142" s="5">
        <v>202</v>
      </c>
      <c r="H142" s="5">
        <v>1501</v>
      </c>
      <c r="I142" s="5">
        <v>0</v>
      </c>
      <c r="J142" s="5">
        <v>0</v>
      </c>
      <c r="K142" s="5">
        <v>28</v>
      </c>
      <c r="L142" s="5">
        <v>353</v>
      </c>
      <c r="M142" s="5">
        <v>0</v>
      </c>
      <c r="N142" s="5">
        <v>0</v>
      </c>
      <c r="O142" s="5">
        <v>1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6</v>
      </c>
      <c r="V142" s="5">
        <v>0</v>
      </c>
      <c r="W142" s="5">
        <v>107</v>
      </c>
      <c r="X142" s="5">
        <v>0</v>
      </c>
      <c r="Y142" s="5">
        <v>0</v>
      </c>
      <c r="Z142" s="5">
        <v>0</v>
      </c>
      <c r="AA142" s="8">
        <f>SUM(B142:Z142)</f>
        <v>51168</v>
      </c>
    </row>
    <row r="143" spans="1:27" x14ac:dyDescent="0.25">
      <c r="A143" s="5" t="s">
        <v>159</v>
      </c>
      <c r="B143" s="5">
        <v>1824</v>
      </c>
      <c r="C143" s="5">
        <v>1992</v>
      </c>
      <c r="D143" s="5">
        <v>11</v>
      </c>
      <c r="E143" s="5">
        <v>3369</v>
      </c>
      <c r="F143" s="5">
        <v>1853</v>
      </c>
      <c r="G143" s="5">
        <v>0</v>
      </c>
      <c r="H143" s="5">
        <v>1697</v>
      </c>
      <c r="I143" s="5">
        <v>0</v>
      </c>
      <c r="J143" s="5">
        <v>0</v>
      </c>
      <c r="K143" s="5">
        <v>85</v>
      </c>
      <c r="L143" s="5">
        <v>589</v>
      </c>
      <c r="M143" s="5">
        <v>0</v>
      </c>
      <c r="N143" s="5">
        <v>0</v>
      </c>
      <c r="O143" s="5">
        <v>1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23</v>
      </c>
      <c r="X143" s="5">
        <v>0</v>
      </c>
      <c r="Y143" s="5">
        <v>0</v>
      </c>
      <c r="Z143" s="5">
        <v>0</v>
      </c>
      <c r="AA143" s="8">
        <f>SUM(B143:Z143)</f>
        <v>11444</v>
      </c>
    </row>
    <row r="144" spans="1:27" x14ac:dyDescent="0.25">
      <c r="A144" s="5" t="s">
        <v>67</v>
      </c>
      <c r="B144" s="5">
        <v>1819</v>
      </c>
      <c r="C144" s="5">
        <v>441</v>
      </c>
      <c r="D144" s="5">
        <v>0</v>
      </c>
      <c r="E144" s="5">
        <v>0</v>
      </c>
      <c r="F144" s="5">
        <v>0</v>
      </c>
      <c r="G144" s="5">
        <v>20</v>
      </c>
      <c r="H144" s="5">
        <v>2946</v>
      </c>
      <c r="I144" s="5">
        <v>0</v>
      </c>
      <c r="J144" s="5">
        <v>0</v>
      </c>
      <c r="K144" s="5">
        <v>35</v>
      </c>
      <c r="L144" s="5">
        <v>102</v>
      </c>
      <c r="M144" s="5">
        <v>20</v>
      </c>
      <c r="N144" s="5">
        <v>1189</v>
      </c>
      <c r="O144" s="5">
        <v>0</v>
      </c>
      <c r="P144" s="5">
        <v>0</v>
      </c>
      <c r="Q144" s="5">
        <v>10</v>
      </c>
      <c r="R144" s="5">
        <v>0</v>
      </c>
      <c r="S144" s="5">
        <v>0</v>
      </c>
      <c r="T144" s="5">
        <v>0</v>
      </c>
      <c r="U144" s="5">
        <v>16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8">
        <f>SUM(B144:Z144)</f>
        <v>6598</v>
      </c>
    </row>
    <row r="145" spans="1:27" x14ac:dyDescent="0.25">
      <c r="A145" s="5" t="s">
        <v>5</v>
      </c>
      <c r="B145" s="5">
        <v>1805</v>
      </c>
      <c r="C145" s="5">
        <v>233</v>
      </c>
      <c r="D145" s="5">
        <v>0</v>
      </c>
      <c r="E145" s="5">
        <v>0</v>
      </c>
      <c r="F145" s="5">
        <v>0</v>
      </c>
      <c r="G145" s="5">
        <v>5</v>
      </c>
      <c r="H145" s="5">
        <v>3177</v>
      </c>
      <c r="I145" s="5">
        <v>0</v>
      </c>
      <c r="J145" s="5">
        <v>0</v>
      </c>
      <c r="K145" s="5">
        <v>50</v>
      </c>
      <c r="L145" s="5">
        <v>109</v>
      </c>
      <c r="M145" s="5">
        <v>0</v>
      </c>
      <c r="N145" s="5">
        <v>0</v>
      </c>
      <c r="O145" s="5">
        <v>7</v>
      </c>
      <c r="P145" s="5">
        <v>0</v>
      </c>
      <c r="Q145" s="5">
        <v>4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8">
        <f>SUM(B145:Z145)</f>
        <v>5390</v>
      </c>
    </row>
    <row r="146" spans="1:27" x14ac:dyDescent="0.25">
      <c r="A146" s="5" t="s">
        <v>148</v>
      </c>
      <c r="B146" s="5">
        <v>1570</v>
      </c>
      <c r="C146" s="5">
        <v>6742</v>
      </c>
      <c r="D146" s="5">
        <v>4142</v>
      </c>
      <c r="E146" s="5">
        <v>0</v>
      </c>
      <c r="F146" s="5">
        <v>24</v>
      </c>
      <c r="G146" s="5">
        <v>2</v>
      </c>
      <c r="H146" s="5">
        <v>2902</v>
      </c>
      <c r="I146" s="5">
        <v>0</v>
      </c>
      <c r="J146" s="5">
        <v>0</v>
      </c>
      <c r="K146" s="5">
        <v>66</v>
      </c>
      <c r="L146" s="5">
        <v>205</v>
      </c>
      <c r="M146" s="5">
        <v>0</v>
      </c>
      <c r="N146" s="5">
        <v>5558</v>
      </c>
      <c r="O146" s="5">
        <v>0</v>
      </c>
      <c r="P146" s="5">
        <v>1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51</v>
      </c>
      <c r="X146" s="5">
        <v>0</v>
      </c>
      <c r="Y146" s="5">
        <v>0</v>
      </c>
      <c r="Z146" s="5">
        <v>0</v>
      </c>
      <c r="AA146" s="8">
        <f>SUM(B146:Z146)</f>
        <v>21263</v>
      </c>
    </row>
    <row r="147" spans="1:27" x14ac:dyDescent="0.25">
      <c r="A147" s="5" t="s">
        <v>56</v>
      </c>
      <c r="B147" s="5">
        <v>1569</v>
      </c>
      <c r="C147" s="5">
        <v>7993</v>
      </c>
      <c r="D147" s="5">
        <v>0</v>
      </c>
      <c r="E147" s="5">
        <v>0</v>
      </c>
      <c r="F147" s="5">
        <v>0</v>
      </c>
      <c r="G147" s="5">
        <v>16</v>
      </c>
      <c r="H147" s="5">
        <v>9705</v>
      </c>
      <c r="I147" s="5">
        <v>0</v>
      </c>
      <c r="J147" s="5">
        <v>0</v>
      </c>
      <c r="K147" s="5">
        <v>22</v>
      </c>
      <c r="L147" s="5">
        <v>98</v>
      </c>
      <c r="M147" s="5">
        <v>7</v>
      </c>
      <c r="N147" s="5">
        <v>17173</v>
      </c>
      <c r="O147" s="5">
        <v>22</v>
      </c>
      <c r="P147" s="5">
        <v>16</v>
      </c>
      <c r="Q147" s="5">
        <v>3</v>
      </c>
      <c r="R147" s="5">
        <v>0</v>
      </c>
      <c r="S147" s="5">
        <v>0</v>
      </c>
      <c r="T147" s="5">
        <v>0</v>
      </c>
      <c r="U147" s="5">
        <v>11</v>
      </c>
      <c r="V147" s="5">
        <v>0</v>
      </c>
      <c r="W147" s="5">
        <v>5</v>
      </c>
      <c r="X147" s="5">
        <v>0</v>
      </c>
      <c r="Y147" s="5">
        <v>0</v>
      </c>
      <c r="Z147" s="5">
        <v>0</v>
      </c>
      <c r="AA147" s="8">
        <f>SUM(B147:Z147)</f>
        <v>36640</v>
      </c>
    </row>
    <row r="148" spans="1:27" x14ac:dyDescent="0.25">
      <c r="A148" s="5" t="s">
        <v>205</v>
      </c>
      <c r="B148" s="5">
        <v>1552</v>
      </c>
      <c r="C148" s="5">
        <v>9936</v>
      </c>
      <c r="D148" s="5">
        <v>204</v>
      </c>
      <c r="E148" s="5">
        <v>1805</v>
      </c>
      <c r="F148" s="5">
        <v>202</v>
      </c>
      <c r="G148" s="5">
        <v>65</v>
      </c>
      <c r="H148" s="5">
        <v>4449</v>
      </c>
      <c r="I148" s="5">
        <v>0</v>
      </c>
      <c r="J148" s="5">
        <v>0</v>
      </c>
      <c r="K148" s="5">
        <v>23</v>
      </c>
      <c r="L148" s="5">
        <v>153</v>
      </c>
      <c r="M148" s="5">
        <v>0</v>
      </c>
      <c r="N148" s="5">
        <v>140</v>
      </c>
      <c r="O148" s="5">
        <v>6</v>
      </c>
      <c r="P148" s="5">
        <v>0</v>
      </c>
      <c r="Q148" s="5">
        <v>46</v>
      </c>
      <c r="R148" s="5">
        <v>0</v>
      </c>
      <c r="S148" s="5">
        <v>0</v>
      </c>
      <c r="T148" s="5">
        <v>484</v>
      </c>
      <c r="U148" s="5">
        <v>18</v>
      </c>
      <c r="V148" s="5">
        <v>0</v>
      </c>
      <c r="W148" s="5">
        <v>232</v>
      </c>
      <c r="X148" s="5">
        <v>0</v>
      </c>
      <c r="Y148" s="5">
        <v>0</v>
      </c>
      <c r="Z148" s="5">
        <v>0</v>
      </c>
      <c r="AA148" s="8">
        <f>SUM(B148:Z148)</f>
        <v>19315</v>
      </c>
    </row>
    <row r="149" spans="1:27" x14ac:dyDescent="0.25">
      <c r="A149" s="5" t="s">
        <v>11</v>
      </c>
      <c r="B149" s="5">
        <v>1496</v>
      </c>
      <c r="C149" s="5">
        <v>332</v>
      </c>
      <c r="D149" s="5">
        <v>0</v>
      </c>
      <c r="E149" s="5">
        <v>0</v>
      </c>
      <c r="F149" s="5">
        <v>0</v>
      </c>
      <c r="G149" s="5">
        <v>0</v>
      </c>
      <c r="H149" s="5">
        <v>4799</v>
      </c>
      <c r="I149" s="5">
        <v>0</v>
      </c>
      <c r="J149" s="5">
        <v>0</v>
      </c>
      <c r="K149" s="5">
        <v>9</v>
      </c>
      <c r="L149" s="5">
        <v>26</v>
      </c>
      <c r="M149" s="5">
        <v>0</v>
      </c>
      <c r="N149" s="5">
        <v>1459</v>
      </c>
      <c r="O149" s="5">
        <v>4</v>
      </c>
      <c r="P149" s="5">
        <v>0</v>
      </c>
      <c r="Q149" s="5">
        <v>81</v>
      </c>
      <c r="R149" s="5">
        <v>0</v>
      </c>
      <c r="S149" s="5">
        <v>0</v>
      </c>
      <c r="T149" s="5">
        <v>0</v>
      </c>
      <c r="U149" s="5">
        <v>14</v>
      </c>
      <c r="V149" s="5">
        <v>0</v>
      </c>
      <c r="W149" s="5">
        <v>3</v>
      </c>
      <c r="X149" s="5">
        <v>0</v>
      </c>
      <c r="Y149" s="5">
        <v>0</v>
      </c>
      <c r="Z149" s="5">
        <v>1</v>
      </c>
      <c r="AA149" s="8">
        <f>SUM(B149:Z149)</f>
        <v>8224</v>
      </c>
    </row>
    <row r="150" spans="1:27" x14ac:dyDescent="0.25">
      <c r="A150" s="5" t="s">
        <v>31</v>
      </c>
      <c r="B150" s="5">
        <v>1445</v>
      </c>
      <c r="C150" s="5">
        <v>4316</v>
      </c>
      <c r="D150" s="5">
        <v>0</v>
      </c>
      <c r="E150" s="5">
        <v>0</v>
      </c>
      <c r="F150" s="5">
        <v>7</v>
      </c>
      <c r="G150" s="5">
        <v>32</v>
      </c>
      <c r="H150" s="5">
        <v>2266</v>
      </c>
      <c r="I150" s="5">
        <v>0</v>
      </c>
      <c r="J150" s="5">
        <v>0</v>
      </c>
      <c r="K150" s="5">
        <v>30</v>
      </c>
      <c r="L150" s="5">
        <v>71</v>
      </c>
      <c r="M150" s="5">
        <v>0</v>
      </c>
      <c r="N150" s="5">
        <v>10371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1739</v>
      </c>
      <c r="X150" s="5">
        <v>0</v>
      </c>
      <c r="Y150" s="5">
        <v>0</v>
      </c>
      <c r="Z150" s="5">
        <v>0</v>
      </c>
      <c r="AA150" s="8">
        <f>SUM(B150:Z150)</f>
        <v>20277</v>
      </c>
    </row>
    <row r="151" spans="1:27" x14ac:dyDescent="0.25">
      <c r="A151" s="5" t="s">
        <v>259</v>
      </c>
      <c r="B151" s="5">
        <v>1414</v>
      </c>
      <c r="C151" s="5">
        <v>2489</v>
      </c>
      <c r="D151" s="5">
        <v>0</v>
      </c>
      <c r="E151" s="5">
        <v>1780</v>
      </c>
      <c r="F151" s="5">
        <v>2064</v>
      </c>
      <c r="G151" s="5">
        <v>21</v>
      </c>
      <c r="H151" s="5">
        <v>2444</v>
      </c>
      <c r="I151" s="5">
        <v>0</v>
      </c>
      <c r="J151" s="5">
        <v>0</v>
      </c>
      <c r="K151" s="5">
        <v>85</v>
      </c>
      <c r="L151" s="5">
        <v>1499</v>
      </c>
      <c r="M151" s="5">
        <v>0</v>
      </c>
      <c r="N151" s="5">
        <v>0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7</v>
      </c>
      <c r="X151" s="5">
        <v>0</v>
      </c>
      <c r="Y151" s="5">
        <v>0</v>
      </c>
      <c r="Z151" s="5">
        <v>0</v>
      </c>
      <c r="AA151" s="8">
        <f>SUM(B151:Z151)</f>
        <v>11804</v>
      </c>
    </row>
    <row r="152" spans="1:27" x14ac:dyDescent="0.25">
      <c r="A152" s="5" t="s">
        <v>54</v>
      </c>
      <c r="B152" s="5">
        <v>1353</v>
      </c>
      <c r="C152" s="5">
        <v>9421</v>
      </c>
      <c r="D152" s="5">
        <v>0</v>
      </c>
      <c r="E152" s="5">
        <v>0</v>
      </c>
      <c r="F152" s="5">
        <v>23</v>
      </c>
      <c r="G152" s="5">
        <v>5</v>
      </c>
      <c r="H152" s="5">
        <v>5552</v>
      </c>
      <c r="I152" s="5">
        <v>0</v>
      </c>
      <c r="J152" s="5">
        <v>0</v>
      </c>
      <c r="K152" s="5">
        <v>25</v>
      </c>
      <c r="L152" s="5">
        <v>83</v>
      </c>
      <c r="M152" s="5">
        <v>0</v>
      </c>
      <c r="N152" s="5">
        <v>11994</v>
      </c>
      <c r="O152" s="5">
        <v>0</v>
      </c>
      <c r="P152" s="5">
        <v>0</v>
      </c>
      <c r="Q152" s="5">
        <v>2</v>
      </c>
      <c r="R152" s="5">
        <v>0</v>
      </c>
      <c r="S152" s="5">
        <v>0</v>
      </c>
      <c r="T152" s="5">
        <v>164</v>
      </c>
      <c r="U152" s="5">
        <v>24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8">
        <f>SUM(B152:Z152)</f>
        <v>28646</v>
      </c>
    </row>
    <row r="153" spans="1:27" x14ac:dyDescent="0.25">
      <c r="A153" s="5" t="s">
        <v>222</v>
      </c>
      <c r="B153" s="5">
        <v>1337</v>
      </c>
      <c r="C153" s="5">
        <v>1088</v>
      </c>
      <c r="D153" s="5">
        <v>0</v>
      </c>
      <c r="E153" s="5">
        <v>33</v>
      </c>
      <c r="F153" s="5">
        <v>1821</v>
      </c>
      <c r="G153" s="5">
        <v>78</v>
      </c>
      <c r="H153" s="5">
        <v>2856</v>
      </c>
      <c r="I153" s="5">
        <v>0</v>
      </c>
      <c r="J153" s="5">
        <v>0</v>
      </c>
      <c r="K153" s="5">
        <v>19</v>
      </c>
      <c r="L153" s="5">
        <v>99</v>
      </c>
      <c r="M153" s="5">
        <v>0</v>
      </c>
      <c r="N153" s="5">
        <v>0</v>
      </c>
      <c r="O153" s="5">
        <v>0</v>
      </c>
      <c r="P153" s="5">
        <v>0</v>
      </c>
      <c r="Q153" s="5">
        <v>78</v>
      </c>
      <c r="R153" s="5">
        <v>1</v>
      </c>
      <c r="S153" s="5">
        <v>0</v>
      </c>
      <c r="T153" s="5">
        <v>0</v>
      </c>
      <c r="U153" s="5">
        <v>5</v>
      </c>
      <c r="V153" s="5">
        <v>0</v>
      </c>
      <c r="W153" s="5">
        <v>7</v>
      </c>
      <c r="X153" s="5">
        <v>0</v>
      </c>
      <c r="Y153" s="5">
        <v>0</v>
      </c>
      <c r="Z153" s="5">
        <v>0</v>
      </c>
      <c r="AA153" s="8">
        <f>SUM(B153:Z153)</f>
        <v>7422</v>
      </c>
    </row>
    <row r="154" spans="1:27" x14ac:dyDescent="0.25">
      <c r="A154" s="5" t="s">
        <v>275</v>
      </c>
      <c r="B154" s="5">
        <v>1279</v>
      </c>
      <c r="C154" s="5">
        <v>876</v>
      </c>
      <c r="D154" s="5">
        <v>296</v>
      </c>
      <c r="E154" s="5">
        <v>0</v>
      </c>
      <c r="F154" s="5">
        <v>630</v>
      </c>
      <c r="G154" s="5">
        <v>3</v>
      </c>
      <c r="H154" s="5">
        <v>2994</v>
      </c>
      <c r="I154" s="5">
        <v>0</v>
      </c>
      <c r="J154" s="5">
        <v>0</v>
      </c>
      <c r="K154" s="5">
        <v>13</v>
      </c>
      <c r="L154" s="5">
        <v>56</v>
      </c>
      <c r="M154" s="5">
        <v>1</v>
      </c>
      <c r="N154" s="5">
        <v>0</v>
      </c>
      <c r="O154" s="5">
        <v>0</v>
      </c>
      <c r="P154" s="5">
        <v>6</v>
      </c>
      <c r="Q154" s="5">
        <v>52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70</v>
      </c>
      <c r="X154" s="5">
        <v>0</v>
      </c>
      <c r="Y154" s="5">
        <v>0</v>
      </c>
      <c r="Z154" s="5">
        <v>0</v>
      </c>
      <c r="AA154" s="8">
        <f>SUM(B154:Z154)</f>
        <v>6276</v>
      </c>
    </row>
    <row r="155" spans="1:27" x14ac:dyDescent="0.25">
      <c r="A155" s="5" t="s">
        <v>60</v>
      </c>
      <c r="B155" s="5">
        <v>1277</v>
      </c>
      <c r="C155" s="5">
        <v>7705</v>
      </c>
      <c r="D155" s="5">
        <v>0</v>
      </c>
      <c r="E155" s="5">
        <v>0</v>
      </c>
      <c r="F155" s="5">
        <v>326</v>
      </c>
      <c r="G155" s="5">
        <v>0</v>
      </c>
      <c r="H155" s="5">
        <v>7812</v>
      </c>
      <c r="I155" s="5">
        <v>0</v>
      </c>
      <c r="J155" s="5">
        <v>0</v>
      </c>
      <c r="K155" s="5">
        <v>83</v>
      </c>
      <c r="L155" s="5">
        <v>128</v>
      </c>
      <c r="M155" s="5">
        <v>0</v>
      </c>
      <c r="N155" s="5">
        <v>16521</v>
      </c>
      <c r="O155" s="5">
        <v>0</v>
      </c>
      <c r="P155" s="5">
        <v>0</v>
      </c>
      <c r="Q155" s="5">
        <v>5</v>
      </c>
      <c r="R155" s="5">
        <v>0</v>
      </c>
      <c r="S155" s="5">
        <v>0</v>
      </c>
      <c r="T155" s="5">
        <v>1</v>
      </c>
      <c r="U155" s="5">
        <v>13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8">
        <f>SUM(B155:Z155)</f>
        <v>33871</v>
      </c>
    </row>
    <row r="156" spans="1:27" x14ac:dyDescent="0.25">
      <c r="A156" s="5" t="s">
        <v>24</v>
      </c>
      <c r="B156" s="5">
        <v>1272</v>
      </c>
      <c r="C156" s="5">
        <v>2263</v>
      </c>
      <c r="D156" s="5">
        <v>0</v>
      </c>
      <c r="E156" s="5">
        <v>0</v>
      </c>
      <c r="F156" s="5">
        <v>0</v>
      </c>
      <c r="G156" s="5">
        <v>7</v>
      </c>
      <c r="H156" s="5">
        <v>4561</v>
      </c>
      <c r="I156" s="5">
        <v>0</v>
      </c>
      <c r="J156" s="5">
        <v>0</v>
      </c>
      <c r="K156" s="5">
        <v>30</v>
      </c>
      <c r="L156" s="5">
        <v>73</v>
      </c>
      <c r="M156" s="5">
        <v>0</v>
      </c>
      <c r="N156" s="5">
        <v>7564</v>
      </c>
      <c r="O156" s="5">
        <v>0</v>
      </c>
      <c r="P156" s="5">
        <v>5</v>
      </c>
      <c r="Q156" s="5">
        <v>30</v>
      </c>
      <c r="R156" s="5">
        <v>0</v>
      </c>
      <c r="S156" s="5">
        <v>0</v>
      </c>
      <c r="T156" s="5">
        <v>0</v>
      </c>
      <c r="U156" s="5">
        <v>5</v>
      </c>
      <c r="V156" s="5">
        <v>0</v>
      </c>
      <c r="W156" s="5">
        <v>1</v>
      </c>
      <c r="X156" s="5">
        <v>0</v>
      </c>
      <c r="Y156" s="5">
        <v>0</v>
      </c>
      <c r="Z156" s="5">
        <v>0</v>
      </c>
      <c r="AA156" s="8">
        <f>SUM(B156:Z156)</f>
        <v>15811</v>
      </c>
    </row>
    <row r="157" spans="1:27" x14ac:dyDescent="0.25">
      <c r="A157" s="5" t="s">
        <v>33</v>
      </c>
      <c r="B157" s="5">
        <v>1267</v>
      </c>
      <c r="C157" s="5">
        <v>581</v>
      </c>
      <c r="D157" s="5">
        <v>0</v>
      </c>
      <c r="E157" s="5">
        <v>0</v>
      </c>
      <c r="F157" s="5">
        <v>0</v>
      </c>
      <c r="G157" s="5">
        <v>5</v>
      </c>
      <c r="H157" s="5">
        <v>1626</v>
      </c>
      <c r="I157" s="5">
        <v>0</v>
      </c>
      <c r="J157" s="5">
        <v>0</v>
      </c>
      <c r="K157" s="5">
        <v>1</v>
      </c>
      <c r="L157" s="5">
        <v>14</v>
      </c>
      <c r="M157" s="5">
        <v>0</v>
      </c>
      <c r="N157" s="5">
        <v>3534</v>
      </c>
      <c r="O157" s="5">
        <v>1</v>
      </c>
      <c r="P157" s="5">
        <v>0</v>
      </c>
      <c r="Q157" s="5">
        <v>2</v>
      </c>
      <c r="R157" s="5">
        <v>0</v>
      </c>
      <c r="S157" s="5">
        <v>0</v>
      </c>
      <c r="T157" s="5">
        <v>0</v>
      </c>
      <c r="U157" s="5">
        <v>1</v>
      </c>
      <c r="V157" s="5">
        <v>0</v>
      </c>
      <c r="W157" s="5">
        <v>268</v>
      </c>
      <c r="X157" s="5">
        <v>0</v>
      </c>
      <c r="Y157" s="5">
        <v>0</v>
      </c>
      <c r="Z157" s="5">
        <v>0</v>
      </c>
      <c r="AA157" s="8">
        <f>SUM(B157:Z157)</f>
        <v>7300</v>
      </c>
    </row>
    <row r="158" spans="1:27" x14ac:dyDescent="0.25">
      <c r="A158" s="5" t="s">
        <v>18</v>
      </c>
      <c r="B158" s="5">
        <v>1266</v>
      </c>
      <c r="C158" s="5">
        <v>1826</v>
      </c>
      <c r="D158" s="5">
        <v>0</v>
      </c>
      <c r="E158" s="5">
        <v>7</v>
      </c>
      <c r="F158" s="5">
        <v>284</v>
      </c>
      <c r="G158" s="5">
        <v>3</v>
      </c>
      <c r="H158" s="5">
        <v>3403</v>
      </c>
      <c r="I158" s="5">
        <v>0</v>
      </c>
      <c r="J158" s="5">
        <v>0</v>
      </c>
      <c r="K158" s="5">
        <v>45</v>
      </c>
      <c r="L158" s="5">
        <v>252</v>
      </c>
      <c r="M158" s="5">
        <v>0</v>
      </c>
      <c r="N158" s="5">
        <v>730</v>
      </c>
      <c r="O158" s="5">
        <v>0</v>
      </c>
      <c r="P158" s="5">
        <v>0</v>
      </c>
      <c r="Q158" s="5">
        <v>61</v>
      </c>
      <c r="R158" s="5">
        <v>0</v>
      </c>
      <c r="S158" s="5">
        <v>0</v>
      </c>
      <c r="T158" s="5">
        <v>0</v>
      </c>
      <c r="U158" s="5">
        <v>19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8">
        <f>SUM(B158:Z158)</f>
        <v>7896</v>
      </c>
    </row>
    <row r="159" spans="1:27" x14ac:dyDescent="0.25">
      <c r="A159" s="5" t="s">
        <v>272</v>
      </c>
      <c r="B159" s="5">
        <v>1261</v>
      </c>
      <c r="C159" s="5">
        <v>560</v>
      </c>
      <c r="D159" s="5">
        <v>18</v>
      </c>
      <c r="E159" s="5">
        <v>0</v>
      </c>
      <c r="F159" s="5">
        <v>238</v>
      </c>
      <c r="G159" s="5">
        <v>97</v>
      </c>
      <c r="H159" s="5">
        <v>5388</v>
      </c>
      <c r="I159" s="5">
        <v>0</v>
      </c>
      <c r="J159" s="5">
        <v>0</v>
      </c>
      <c r="K159" s="5">
        <v>31</v>
      </c>
      <c r="L159" s="5">
        <v>94</v>
      </c>
      <c r="M159" s="5">
        <v>0</v>
      </c>
      <c r="N159" s="5">
        <v>0</v>
      </c>
      <c r="O159" s="5">
        <v>21</v>
      </c>
      <c r="P159" s="5">
        <v>85</v>
      </c>
      <c r="Q159" s="5">
        <v>190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2</v>
      </c>
      <c r="X159" s="5">
        <v>0</v>
      </c>
      <c r="Y159" s="5">
        <v>0</v>
      </c>
      <c r="Z159" s="5">
        <v>0</v>
      </c>
      <c r="AA159" s="8">
        <f>SUM(B159:Z159)</f>
        <v>7985</v>
      </c>
    </row>
    <row r="160" spans="1:27" x14ac:dyDescent="0.25">
      <c r="A160" s="5" t="s">
        <v>132</v>
      </c>
      <c r="B160" s="5">
        <v>1246</v>
      </c>
      <c r="C160" s="5">
        <v>45226</v>
      </c>
      <c r="D160" s="5">
        <v>0</v>
      </c>
      <c r="E160" s="5">
        <v>2883</v>
      </c>
      <c r="F160" s="5">
        <v>2844</v>
      </c>
      <c r="G160" s="5">
        <v>0</v>
      </c>
      <c r="H160" s="5">
        <v>1497</v>
      </c>
      <c r="I160" s="5">
        <v>0</v>
      </c>
      <c r="J160" s="5">
        <v>0</v>
      </c>
      <c r="K160" s="5">
        <v>39</v>
      </c>
      <c r="L160" s="5">
        <v>890</v>
      </c>
      <c r="M160" s="5">
        <v>0</v>
      </c>
      <c r="N160" s="5">
        <v>0</v>
      </c>
      <c r="O160" s="5">
        <v>4</v>
      </c>
      <c r="P160" s="5">
        <v>0</v>
      </c>
      <c r="Q160" s="5">
        <v>13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1</v>
      </c>
      <c r="X160" s="5">
        <v>0</v>
      </c>
      <c r="Y160" s="5">
        <v>0</v>
      </c>
      <c r="Z160" s="5">
        <v>0</v>
      </c>
      <c r="AA160" s="8">
        <f>SUM(B160:Z160)</f>
        <v>54643</v>
      </c>
    </row>
    <row r="161" spans="1:27" x14ac:dyDescent="0.25">
      <c r="A161" s="5" t="s">
        <v>58</v>
      </c>
      <c r="B161" s="5">
        <v>1201</v>
      </c>
      <c r="C161" s="5">
        <v>6009</v>
      </c>
      <c r="D161" s="5">
        <v>0</v>
      </c>
      <c r="E161" s="5">
        <v>0</v>
      </c>
      <c r="F161" s="5">
        <v>0</v>
      </c>
      <c r="G161" s="5">
        <v>15</v>
      </c>
      <c r="H161" s="5">
        <v>8850</v>
      </c>
      <c r="I161" s="5">
        <v>0</v>
      </c>
      <c r="J161" s="5">
        <v>0</v>
      </c>
      <c r="K161" s="5">
        <v>20</v>
      </c>
      <c r="L161" s="5">
        <v>79</v>
      </c>
      <c r="M161" s="5">
        <v>1</v>
      </c>
      <c r="N161" s="5">
        <v>20095</v>
      </c>
      <c r="O161" s="5">
        <v>2</v>
      </c>
      <c r="P161" s="5">
        <v>0</v>
      </c>
      <c r="Q161" s="5">
        <v>1</v>
      </c>
      <c r="R161" s="5">
        <v>0</v>
      </c>
      <c r="S161" s="5">
        <v>0</v>
      </c>
      <c r="T161" s="5">
        <v>0</v>
      </c>
      <c r="U161" s="5">
        <v>4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8">
        <f>SUM(B161:Z161)</f>
        <v>36277</v>
      </c>
    </row>
    <row r="162" spans="1:27" x14ac:dyDescent="0.25">
      <c r="A162" s="5" t="s">
        <v>29</v>
      </c>
      <c r="B162" s="5">
        <v>1198</v>
      </c>
      <c r="C162" s="5">
        <v>3249</v>
      </c>
      <c r="D162" s="5">
        <v>0</v>
      </c>
      <c r="E162" s="5">
        <v>0</v>
      </c>
      <c r="F162" s="5">
        <v>0</v>
      </c>
      <c r="G162" s="5">
        <v>0</v>
      </c>
      <c r="H162" s="5">
        <v>6497</v>
      </c>
      <c r="I162" s="5">
        <v>0</v>
      </c>
      <c r="J162" s="5">
        <v>0</v>
      </c>
      <c r="K162" s="5">
        <v>39</v>
      </c>
      <c r="L162" s="5">
        <v>64</v>
      </c>
      <c r="M162" s="5">
        <v>0</v>
      </c>
      <c r="N162" s="5">
        <v>7750</v>
      </c>
      <c r="O162" s="5">
        <v>0</v>
      </c>
      <c r="P162" s="5">
        <v>0</v>
      </c>
      <c r="Q162" s="5">
        <v>27</v>
      </c>
      <c r="R162" s="5">
        <v>5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8">
        <f>SUM(B162:Z162)</f>
        <v>18829</v>
      </c>
    </row>
    <row r="163" spans="1:27" x14ac:dyDescent="0.25">
      <c r="A163" s="5" t="s">
        <v>120</v>
      </c>
      <c r="B163" s="5">
        <v>1163</v>
      </c>
      <c r="C163" s="5">
        <v>377</v>
      </c>
      <c r="D163" s="5">
        <v>0</v>
      </c>
      <c r="E163" s="5">
        <v>0</v>
      </c>
      <c r="F163" s="5">
        <v>0</v>
      </c>
      <c r="G163" s="5">
        <v>5</v>
      </c>
      <c r="H163" s="5">
        <v>2004</v>
      </c>
      <c r="I163" s="5">
        <v>0</v>
      </c>
      <c r="J163" s="5">
        <v>0</v>
      </c>
      <c r="K163" s="5">
        <v>51</v>
      </c>
      <c r="L163" s="5">
        <v>165</v>
      </c>
      <c r="M163" s="5">
        <v>0</v>
      </c>
      <c r="N163" s="5">
        <v>1603</v>
      </c>
      <c r="O163" s="5">
        <v>0</v>
      </c>
      <c r="P163" s="5">
        <v>0</v>
      </c>
      <c r="Q163" s="5">
        <v>27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36</v>
      </c>
      <c r="X163" s="5">
        <v>0</v>
      </c>
      <c r="Y163" s="5">
        <v>0</v>
      </c>
      <c r="Z163" s="5">
        <v>0</v>
      </c>
      <c r="AA163" s="8">
        <f>SUM(B163:Z163)</f>
        <v>5431</v>
      </c>
    </row>
    <row r="164" spans="1:27" x14ac:dyDescent="0.25">
      <c r="A164" s="5" t="s">
        <v>107</v>
      </c>
      <c r="B164" s="5">
        <v>1155</v>
      </c>
      <c r="C164" s="5">
        <v>1270</v>
      </c>
      <c r="D164" s="5">
        <v>0</v>
      </c>
      <c r="E164" s="5">
        <v>0</v>
      </c>
      <c r="F164" s="5">
        <v>145</v>
      </c>
      <c r="G164" s="5">
        <v>7</v>
      </c>
      <c r="H164" s="5">
        <v>2724</v>
      </c>
      <c r="I164" s="5">
        <v>0</v>
      </c>
      <c r="J164" s="5">
        <v>0</v>
      </c>
      <c r="K164" s="5">
        <v>37</v>
      </c>
      <c r="L164" s="5">
        <v>100</v>
      </c>
      <c r="M164" s="5">
        <v>0</v>
      </c>
      <c r="N164" s="5">
        <v>2436</v>
      </c>
      <c r="O164" s="5">
        <v>0</v>
      </c>
      <c r="P164" s="5">
        <v>0</v>
      </c>
      <c r="Q164" s="5">
        <v>12</v>
      </c>
      <c r="R164" s="5">
        <v>0</v>
      </c>
      <c r="S164" s="5">
        <v>0</v>
      </c>
      <c r="T164" s="5">
        <v>0</v>
      </c>
      <c r="U164" s="5">
        <v>9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8">
        <f>SUM(B164:Z164)</f>
        <v>7895</v>
      </c>
    </row>
    <row r="165" spans="1:27" x14ac:dyDescent="0.25">
      <c r="A165" s="5" t="s">
        <v>254</v>
      </c>
      <c r="B165" s="5">
        <v>1147</v>
      </c>
      <c r="C165" s="5">
        <v>3487</v>
      </c>
      <c r="D165" s="5">
        <v>0</v>
      </c>
      <c r="E165" s="5">
        <v>0</v>
      </c>
      <c r="F165" s="5">
        <v>0</v>
      </c>
      <c r="G165" s="5">
        <v>1</v>
      </c>
      <c r="H165" s="5">
        <v>2357</v>
      </c>
      <c r="I165" s="5">
        <v>0</v>
      </c>
      <c r="J165" s="5">
        <v>0</v>
      </c>
      <c r="K165" s="5">
        <v>89</v>
      </c>
      <c r="L165" s="5">
        <v>50</v>
      </c>
      <c r="M165" s="5">
        <v>0</v>
      </c>
      <c r="N165" s="5">
        <v>2273</v>
      </c>
      <c r="O165" s="5">
        <v>0</v>
      </c>
      <c r="P165" s="5">
        <v>79</v>
      </c>
      <c r="Q165" s="5">
        <v>0</v>
      </c>
      <c r="R165" s="5">
        <v>0</v>
      </c>
      <c r="S165" s="5">
        <v>0</v>
      </c>
      <c r="T165" s="5">
        <v>0</v>
      </c>
      <c r="U165" s="5">
        <v>14</v>
      </c>
      <c r="V165" s="5">
        <v>0</v>
      </c>
      <c r="W165" s="5">
        <v>12</v>
      </c>
      <c r="X165" s="5">
        <v>0</v>
      </c>
      <c r="Y165" s="5">
        <v>0</v>
      </c>
      <c r="Z165" s="5">
        <v>0</v>
      </c>
      <c r="AA165" s="8">
        <f>SUM(B165:Z165)</f>
        <v>9509</v>
      </c>
    </row>
    <row r="166" spans="1:27" x14ac:dyDescent="0.25">
      <c r="A166" s="5" t="s">
        <v>234</v>
      </c>
      <c r="B166" s="5">
        <v>1082</v>
      </c>
      <c r="C166" s="5">
        <v>20979</v>
      </c>
      <c r="D166" s="5">
        <v>7785</v>
      </c>
      <c r="E166" s="5">
        <v>865</v>
      </c>
      <c r="F166" s="5">
        <v>1751</v>
      </c>
      <c r="G166" s="5">
        <v>47</v>
      </c>
      <c r="H166" s="5">
        <v>1839</v>
      </c>
      <c r="I166" s="5">
        <v>0</v>
      </c>
      <c r="J166" s="5">
        <v>0</v>
      </c>
      <c r="K166" s="5">
        <v>217</v>
      </c>
      <c r="L166" s="5">
        <v>871</v>
      </c>
      <c r="M166" s="5">
        <v>0</v>
      </c>
      <c r="N166" s="5">
        <v>0</v>
      </c>
      <c r="O166" s="5">
        <v>1</v>
      </c>
      <c r="P166" s="5">
        <v>0</v>
      </c>
      <c r="Q166" s="5">
        <v>4</v>
      </c>
      <c r="R166" s="5">
        <v>0</v>
      </c>
      <c r="S166" s="5">
        <v>0</v>
      </c>
      <c r="T166" s="5">
        <v>0</v>
      </c>
      <c r="U166" s="5">
        <v>5</v>
      </c>
      <c r="V166" s="5">
        <v>0</v>
      </c>
      <c r="W166" s="5">
        <v>250</v>
      </c>
      <c r="X166" s="5">
        <v>0</v>
      </c>
      <c r="Y166" s="5">
        <v>0</v>
      </c>
      <c r="Z166" s="5">
        <v>0</v>
      </c>
      <c r="AA166" s="8">
        <f>SUM(B166:Z166)</f>
        <v>35696</v>
      </c>
    </row>
    <row r="167" spans="1:27" x14ac:dyDescent="0.25">
      <c r="A167" s="5" t="s">
        <v>261</v>
      </c>
      <c r="B167" s="5">
        <v>1001</v>
      </c>
      <c r="C167" s="5">
        <v>571</v>
      </c>
      <c r="D167" s="5">
        <v>32</v>
      </c>
      <c r="E167" s="5">
        <v>0</v>
      </c>
      <c r="F167" s="5">
        <v>0</v>
      </c>
      <c r="G167" s="5">
        <v>155</v>
      </c>
      <c r="H167" s="5">
        <v>2552</v>
      </c>
      <c r="I167" s="5">
        <v>0</v>
      </c>
      <c r="J167" s="5">
        <v>0</v>
      </c>
      <c r="K167" s="5">
        <v>52</v>
      </c>
      <c r="L167" s="5">
        <v>107</v>
      </c>
      <c r="M167" s="5">
        <v>0</v>
      </c>
      <c r="N167" s="5">
        <v>0</v>
      </c>
      <c r="O167" s="5">
        <v>0</v>
      </c>
      <c r="P167" s="5">
        <v>0</v>
      </c>
      <c r="Q167" s="5">
        <v>30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8">
        <f>SUM(B167:Z167)</f>
        <v>4500</v>
      </c>
    </row>
    <row r="168" spans="1:27" x14ac:dyDescent="0.25">
      <c r="A168" s="5" t="s">
        <v>45</v>
      </c>
      <c r="B168" s="5">
        <v>1000</v>
      </c>
      <c r="C168" s="5">
        <v>4981</v>
      </c>
      <c r="D168" s="5">
        <v>0</v>
      </c>
      <c r="E168" s="5">
        <v>74</v>
      </c>
      <c r="F168" s="5">
        <v>73</v>
      </c>
      <c r="G168" s="5">
        <v>0</v>
      </c>
      <c r="H168" s="5">
        <v>4112</v>
      </c>
      <c r="I168" s="5">
        <v>23</v>
      </c>
      <c r="J168" s="5">
        <v>0</v>
      </c>
      <c r="K168" s="5">
        <v>12</v>
      </c>
      <c r="L168" s="5">
        <v>22</v>
      </c>
      <c r="M168" s="5">
        <v>0</v>
      </c>
      <c r="N168" s="5">
        <v>3310</v>
      </c>
      <c r="O168" s="5">
        <v>0</v>
      </c>
      <c r="P168" s="5">
        <v>26</v>
      </c>
      <c r="Q168" s="5">
        <v>0</v>
      </c>
      <c r="R168" s="5">
        <v>0</v>
      </c>
      <c r="S168" s="5">
        <v>0</v>
      </c>
      <c r="T168" s="5">
        <v>0</v>
      </c>
      <c r="U168" s="5">
        <v>5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8">
        <f>SUM(B168:Z168)</f>
        <v>13638</v>
      </c>
    </row>
    <row r="169" spans="1:27" x14ac:dyDescent="0.25">
      <c r="A169" s="5" t="s">
        <v>55</v>
      </c>
      <c r="B169" s="5">
        <v>981</v>
      </c>
      <c r="C169" s="5">
        <v>2926</v>
      </c>
      <c r="D169" s="5">
        <v>0</v>
      </c>
      <c r="E169" s="5">
        <v>0</v>
      </c>
      <c r="F169" s="5">
        <v>0</v>
      </c>
      <c r="G169" s="5">
        <v>39</v>
      </c>
      <c r="H169" s="5">
        <v>11433</v>
      </c>
      <c r="I169" s="5">
        <v>0</v>
      </c>
      <c r="J169" s="5">
        <v>0</v>
      </c>
      <c r="K169" s="5">
        <v>20</v>
      </c>
      <c r="L169" s="5">
        <v>156</v>
      </c>
      <c r="M169" s="5">
        <v>0</v>
      </c>
      <c r="N169" s="5">
        <v>7086</v>
      </c>
      <c r="O169" s="5">
        <v>0</v>
      </c>
      <c r="P169" s="5">
        <v>2</v>
      </c>
      <c r="Q169" s="5">
        <v>59</v>
      </c>
      <c r="R169" s="5">
        <v>0</v>
      </c>
      <c r="S169" s="5">
        <v>0</v>
      </c>
      <c r="T169" s="5">
        <v>0</v>
      </c>
      <c r="U169" s="5">
        <v>10</v>
      </c>
      <c r="V169" s="5">
        <v>0</v>
      </c>
      <c r="W169" s="5">
        <v>1</v>
      </c>
      <c r="X169" s="5">
        <v>0</v>
      </c>
      <c r="Y169" s="5">
        <v>0</v>
      </c>
      <c r="Z169" s="5">
        <v>0</v>
      </c>
      <c r="AA169" s="8">
        <f>SUM(B169:Z169)</f>
        <v>22713</v>
      </c>
    </row>
    <row r="170" spans="1:27" x14ac:dyDescent="0.25">
      <c r="A170" s="5" t="s">
        <v>61</v>
      </c>
      <c r="B170" s="5">
        <v>958</v>
      </c>
      <c r="C170" s="5">
        <v>891</v>
      </c>
      <c r="D170" s="5">
        <v>0</v>
      </c>
      <c r="E170" s="5">
        <v>0</v>
      </c>
      <c r="F170" s="5">
        <v>10</v>
      </c>
      <c r="G170" s="5">
        <v>0</v>
      </c>
      <c r="H170" s="5">
        <v>5315</v>
      </c>
      <c r="I170" s="5">
        <v>0</v>
      </c>
      <c r="J170" s="5">
        <v>0</v>
      </c>
      <c r="K170" s="5">
        <v>93</v>
      </c>
      <c r="L170" s="5">
        <v>326</v>
      </c>
      <c r="M170" s="5">
        <v>0</v>
      </c>
      <c r="N170" s="5">
        <v>115</v>
      </c>
      <c r="O170" s="5">
        <v>0</v>
      </c>
      <c r="P170" s="5">
        <v>0</v>
      </c>
      <c r="Q170" s="5">
        <v>72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2</v>
      </c>
      <c r="X170" s="5">
        <v>0</v>
      </c>
      <c r="Y170" s="5">
        <v>0</v>
      </c>
      <c r="Z170" s="5">
        <v>20</v>
      </c>
      <c r="AA170" s="8">
        <f>SUM(B170:Z170)</f>
        <v>7802</v>
      </c>
    </row>
    <row r="171" spans="1:27" x14ac:dyDescent="0.25">
      <c r="A171" s="5" t="s">
        <v>20</v>
      </c>
      <c r="B171" s="5">
        <v>928</v>
      </c>
      <c r="C171" s="5">
        <v>2102</v>
      </c>
      <c r="D171" s="5">
        <v>0</v>
      </c>
      <c r="E171" s="5">
        <v>0</v>
      </c>
      <c r="F171" s="5">
        <v>0</v>
      </c>
      <c r="G171" s="5">
        <v>0</v>
      </c>
      <c r="H171" s="5">
        <v>5532</v>
      </c>
      <c r="I171" s="5">
        <v>0</v>
      </c>
      <c r="J171" s="5">
        <v>0</v>
      </c>
      <c r="K171" s="5">
        <v>22</v>
      </c>
      <c r="L171" s="5">
        <v>51</v>
      </c>
      <c r="M171" s="5">
        <v>0</v>
      </c>
      <c r="N171" s="5">
        <v>5267</v>
      </c>
      <c r="O171" s="5">
        <v>6</v>
      </c>
      <c r="P171" s="5">
        <v>0</v>
      </c>
      <c r="Q171" s="5">
        <v>19</v>
      </c>
      <c r="R171" s="5">
        <v>0</v>
      </c>
      <c r="S171" s="5">
        <v>0</v>
      </c>
      <c r="T171" s="5">
        <v>0</v>
      </c>
      <c r="U171" s="5">
        <v>3</v>
      </c>
      <c r="V171" s="5">
        <v>0</v>
      </c>
      <c r="W171" s="5">
        <v>41</v>
      </c>
      <c r="X171" s="5">
        <v>0</v>
      </c>
      <c r="Y171" s="5">
        <v>0</v>
      </c>
      <c r="Z171" s="5">
        <v>0</v>
      </c>
      <c r="AA171" s="8">
        <f>SUM(B171:Z171)</f>
        <v>13971</v>
      </c>
    </row>
    <row r="172" spans="1:27" x14ac:dyDescent="0.25">
      <c r="A172" s="5" t="s">
        <v>62</v>
      </c>
      <c r="B172" s="5">
        <v>916</v>
      </c>
      <c r="C172" s="5">
        <v>809</v>
      </c>
      <c r="D172" s="5">
        <v>0</v>
      </c>
      <c r="E172" s="5">
        <v>0</v>
      </c>
      <c r="F172" s="5">
        <v>5</v>
      </c>
      <c r="G172" s="5">
        <v>3</v>
      </c>
      <c r="H172" s="5">
        <v>5384</v>
      </c>
      <c r="I172" s="5">
        <v>0</v>
      </c>
      <c r="J172" s="5">
        <v>0</v>
      </c>
      <c r="K172" s="5">
        <v>33</v>
      </c>
      <c r="L172" s="5">
        <v>104</v>
      </c>
      <c r="M172" s="5">
        <v>2</v>
      </c>
      <c r="N172" s="5">
        <v>0</v>
      </c>
      <c r="O172" s="5">
        <v>0</v>
      </c>
      <c r="P172" s="5">
        <v>9</v>
      </c>
      <c r="Q172" s="5">
        <v>75</v>
      </c>
      <c r="R172" s="5">
        <v>0</v>
      </c>
      <c r="S172" s="5">
        <v>0</v>
      </c>
      <c r="T172" s="5">
        <v>0</v>
      </c>
      <c r="U172" s="5">
        <v>1</v>
      </c>
      <c r="V172" s="5">
        <v>0</v>
      </c>
      <c r="W172" s="5">
        <v>1</v>
      </c>
      <c r="X172" s="5">
        <v>0</v>
      </c>
      <c r="Y172" s="5">
        <v>0</v>
      </c>
      <c r="Z172" s="5">
        <v>0</v>
      </c>
      <c r="AA172" s="8">
        <f>SUM(B172:Z172)</f>
        <v>7342</v>
      </c>
    </row>
    <row r="173" spans="1:27" x14ac:dyDescent="0.25">
      <c r="A173" s="5" t="s">
        <v>112</v>
      </c>
      <c r="B173" s="5">
        <v>904</v>
      </c>
      <c r="C173" s="5">
        <v>886</v>
      </c>
      <c r="D173" s="5">
        <v>0</v>
      </c>
      <c r="E173" s="5">
        <v>0</v>
      </c>
      <c r="F173" s="5">
        <v>39</v>
      </c>
      <c r="G173" s="5">
        <v>28</v>
      </c>
      <c r="H173" s="5">
        <v>6586</v>
      </c>
      <c r="I173" s="5">
        <v>0</v>
      </c>
      <c r="J173" s="5">
        <v>0</v>
      </c>
      <c r="K173" s="5">
        <v>34</v>
      </c>
      <c r="L173" s="5">
        <v>163</v>
      </c>
      <c r="M173" s="5">
        <v>0</v>
      </c>
      <c r="N173" s="5">
        <v>1110</v>
      </c>
      <c r="O173" s="5">
        <v>19</v>
      </c>
      <c r="P173" s="5">
        <v>46</v>
      </c>
      <c r="Q173" s="5">
        <v>32</v>
      </c>
      <c r="R173" s="5">
        <v>0</v>
      </c>
      <c r="S173" s="5">
        <v>0</v>
      </c>
      <c r="T173" s="5">
        <v>0</v>
      </c>
      <c r="U173" s="5">
        <v>12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8">
        <f>SUM(B173:Z173)</f>
        <v>9859</v>
      </c>
    </row>
    <row r="174" spans="1:27" x14ac:dyDescent="0.25">
      <c r="A174" s="5" t="s">
        <v>10</v>
      </c>
      <c r="B174" s="5">
        <v>883</v>
      </c>
      <c r="C174" s="5">
        <v>1474</v>
      </c>
      <c r="D174" s="5">
        <v>0</v>
      </c>
      <c r="E174" s="5">
        <v>0</v>
      </c>
      <c r="F174" s="5">
        <v>0</v>
      </c>
      <c r="G174" s="5">
        <v>0</v>
      </c>
      <c r="H174" s="5">
        <v>5931</v>
      </c>
      <c r="I174" s="5">
        <v>0</v>
      </c>
      <c r="J174" s="5">
        <v>0</v>
      </c>
      <c r="K174" s="5">
        <v>20</v>
      </c>
      <c r="L174" s="5">
        <v>75</v>
      </c>
      <c r="M174" s="5">
        <v>0</v>
      </c>
      <c r="N174" s="5">
        <v>2893</v>
      </c>
      <c r="O174" s="5">
        <v>0</v>
      </c>
      <c r="P174" s="5">
        <v>0</v>
      </c>
      <c r="Q174" s="5">
        <v>4</v>
      </c>
      <c r="R174" s="5">
        <v>0</v>
      </c>
      <c r="S174" s="5">
        <v>0</v>
      </c>
      <c r="T174" s="5">
        <v>0</v>
      </c>
      <c r="U174" s="5">
        <v>16</v>
      </c>
      <c r="V174" s="5">
        <v>0</v>
      </c>
      <c r="W174" s="5">
        <v>0</v>
      </c>
      <c r="X174" s="5">
        <v>0</v>
      </c>
      <c r="Y174" s="5">
        <v>0</v>
      </c>
      <c r="Z174" s="5">
        <v>36</v>
      </c>
      <c r="AA174" s="8">
        <f>SUM(B174:Z174)</f>
        <v>11332</v>
      </c>
    </row>
    <row r="175" spans="1:27" x14ac:dyDescent="0.25">
      <c r="A175" s="5" t="s">
        <v>278</v>
      </c>
      <c r="B175" s="5">
        <v>849</v>
      </c>
      <c r="C175" s="5">
        <v>1064</v>
      </c>
      <c r="D175" s="5">
        <v>0</v>
      </c>
      <c r="E175" s="5">
        <v>161</v>
      </c>
      <c r="F175" s="5">
        <v>57</v>
      </c>
      <c r="G175" s="5">
        <v>42</v>
      </c>
      <c r="H175" s="5">
        <v>2162</v>
      </c>
      <c r="I175" s="5">
        <v>0</v>
      </c>
      <c r="J175" s="5">
        <v>0</v>
      </c>
      <c r="K175" s="5">
        <v>9</v>
      </c>
      <c r="L175" s="5">
        <v>331</v>
      </c>
      <c r="M175" s="5">
        <v>0</v>
      </c>
      <c r="N175" s="5">
        <v>0</v>
      </c>
      <c r="O175" s="5">
        <v>0</v>
      </c>
      <c r="P175" s="5">
        <v>0</v>
      </c>
      <c r="Q175" s="5">
        <v>15</v>
      </c>
      <c r="R175" s="5">
        <v>0</v>
      </c>
      <c r="S175" s="5">
        <v>0</v>
      </c>
      <c r="T175" s="5">
        <v>0</v>
      </c>
      <c r="U175" s="5">
        <v>5</v>
      </c>
      <c r="V175" s="5">
        <v>0</v>
      </c>
      <c r="W175" s="5">
        <v>1</v>
      </c>
      <c r="X175" s="5">
        <v>0</v>
      </c>
      <c r="Y175" s="5">
        <v>0</v>
      </c>
      <c r="Z175" s="5">
        <v>0</v>
      </c>
      <c r="AA175" s="8">
        <f>SUM(B175:Z175)</f>
        <v>4696</v>
      </c>
    </row>
    <row r="176" spans="1:27" x14ac:dyDescent="0.25">
      <c r="A176" s="5" t="s">
        <v>25</v>
      </c>
      <c r="B176" s="5">
        <v>824</v>
      </c>
      <c r="C176" s="5">
        <v>2586</v>
      </c>
      <c r="D176" s="5">
        <v>0</v>
      </c>
      <c r="E176" s="5">
        <v>94</v>
      </c>
      <c r="F176" s="5">
        <v>12</v>
      </c>
      <c r="G176" s="5">
        <v>0</v>
      </c>
      <c r="H176" s="5">
        <v>4638</v>
      </c>
      <c r="I176" s="5">
        <v>0</v>
      </c>
      <c r="J176" s="5">
        <v>0</v>
      </c>
      <c r="K176" s="5">
        <v>69</v>
      </c>
      <c r="L176" s="5">
        <v>197</v>
      </c>
      <c r="M176" s="5">
        <v>0</v>
      </c>
      <c r="N176" s="5">
        <v>1220</v>
      </c>
      <c r="O176" s="5">
        <v>7</v>
      </c>
      <c r="P176" s="5">
        <v>0</v>
      </c>
      <c r="Q176" s="5">
        <v>66</v>
      </c>
      <c r="R176" s="5">
        <v>0</v>
      </c>
      <c r="S176" s="5">
        <v>0</v>
      </c>
      <c r="T176" s="5">
        <v>0</v>
      </c>
      <c r="U176" s="5">
        <v>7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8">
        <f>SUM(B176:Z176)</f>
        <v>9720</v>
      </c>
    </row>
    <row r="177" spans="1:27" x14ac:dyDescent="0.25">
      <c r="A177" s="5" t="s">
        <v>267</v>
      </c>
      <c r="B177" s="5">
        <v>796</v>
      </c>
      <c r="C177" s="5">
        <v>1857</v>
      </c>
      <c r="D177" s="5">
        <v>0</v>
      </c>
      <c r="E177" s="5">
        <v>0</v>
      </c>
      <c r="F177" s="5">
        <v>0</v>
      </c>
      <c r="G177" s="5">
        <v>1</v>
      </c>
      <c r="H177" s="5">
        <v>7327</v>
      </c>
      <c r="I177" s="5">
        <v>0</v>
      </c>
      <c r="J177" s="5">
        <v>0</v>
      </c>
      <c r="K177" s="5">
        <v>38</v>
      </c>
      <c r="L177" s="5">
        <v>367</v>
      </c>
      <c r="M177" s="5">
        <v>0</v>
      </c>
      <c r="N177" s="5">
        <v>354</v>
      </c>
      <c r="O177" s="5">
        <v>0</v>
      </c>
      <c r="P177" s="5">
        <v>191</v>
      </c>
      <c r="Q177" s="5">
        <v>17</v>
      </c>
      <c r="R177" s="5">
        <v>0</v>
      </c>
      <c r="S177" s="5">
        <v>0</v>
      </c>
      <c r="T177" s="5">
        <v>0</v>
      </c>
      <c r="U177" s="5">
        <v>1</v>
      </c>
      <c r="V177" s="5">
        <v>0</v>
      </c>
      <c r="W177" s="5">
        <v>3</v>
      </c>
      <c r="X177" s="5">
        <v>0</v>
      </c>
      <c r="Y177" s="5">
        <v>0</v>
      </c>
      <c r="Z177" s="5">
        <v>0</v>
      </c>
      <c r="AA177" s="8">
        <f>SUM(B177:Z177)</f>
        <v>10952</v>
      </c>
    </row>
    <row r="178" spans="1:27" x14ac:dyDescent="0.25">
      <c r="A178" s="5" t="s">
        <v>249</v>
      </c>
      <c r="B178" s="5">
        <v>793</v>
      </c>
      <c r="C178" s="5">
        <v>15623</v>
      </c>
      <c r="D178" s="5">
        <v>62</v>
      </c>
      <c r="E178" s="5">
        <v>0</v>
      </c>
      <c r="F178" s="5">
        <v>26</v>
      </c>
      <c r="G178" s="5">
        <v>48</v>
      </c>
      <c r="H178" s="5">
        <v>3224</v>
      </c>
      <c r="I178" s="5">
        <v>0</v>
      </c>
      <c r="J178" s="5">
        <v>0</v>
      </c>
      <c r="K178" s="5">
        <v>24</v>
      </c>
      <c r="L178" s="5">
        <v>84</v>
      </c>
      <c r="M178" s="5">
        <v>0</v>
      </c>
      <c r="N178" s="5">
        <v>7198</v>
      </c>
      <c r="O178" s="5">
        <v>0</v>
      </c>
      <c r="P178" s="5">
        <v>0</v>
      </c>
      <c r="Q178" s="5">
        <v>6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8">
        <f>SUM(B178:Z178)</f>
        <v>27088</v>
      </c>
    </row>
    <row r="179" spans="1:27" x14ac:dyDescent="0.25">
      <c r="A179" s="5" t="s">
        <v>27</v>
      </c>
      <c r="B179" s="5">
        <v>793</v>
      </c>
      <c r="C179" s="5">
        <v>1124</v>
      </c>
      <c r="D179" s="5">
        <v>0</v>
      </c>
      <c r="E179" s="5">
        <v>0</v>
      </c>
      <c r="F179" s="5">
        <v>69</v>
      </c>
      <c r="G179" s="5">
        <v>4</v>
      </c>
      <c r="H179" s="5">
        <v>4318</v>
      </c>
      <c r="I179" s="5">
        <v>0</v>
      </c>
      <c r="J179" s="5">
        <v>0</v>
      </c>
      <c r="K179" s="5">
        <v>8</v>
      </c>
      <c r="L179" s="5">
        <v>16</v>
      </c>
      <c r="M179" s="5">
        <v>0</v>
      </c>
      <c r="N179" s="5">
        <v>3962</v>
      </c>
      <c r="O179" s="5">
        <v>1</v>
      </c>
      <c r="P179" s="5">
        <v>18</v>
      </c>
      <c r="Q179" s="5">
        <v>1</v>
      </c>
      <c r="R179" s="5">
        <v>0</v>
      </c>
      <c r="S179" s="5">
        <v>0</v>
      </c>
      <c r="T179" s="5">
        <v>0</v>
      </c>
      <c r="U179" s="5">
        <v>1</v>
      </c>
      <c r="V179" s="5">
        <v>0</v>
      </c>
      <c r="W179" s="5">
        <v>3</v>
      </c>
      <c r="X179" s="5">
        <v>0</v>
      </c>
      <c r="Y179" s="5">
        <v>0</v>
      </c>
      <c r="Z179" s="5">
        <v>0</v>
      </c>
      <c r="AA179" s="8">
        <f>SUM(B179:Z179)</f>
        <v>10318</v>
      </c>
    </row>
    <row r="180" spans="1:27" x14ac:dyDescent="0.25">
      <c r="A180" s="5" t="s">
        <v>21</v>
      </c>
      <c r="B180" s="5">
        <v>782</v>
      </c>
      <c r="C180" s="5">
        <v>1486</v>
      </c>
      <c r="D180" s="5">
        <v>0</v>
      </c>
      <c r="E180" s="5">
        <v>0</v>
      </c>
      <c r="F180" s="5">
        <v>0</v>
      </c>
      <c r="G180" s="5">
        <v>5</v>
      </c>
      <c r="H180" s="5">
        <v>3440</v>
      </c>
      <c r="I180" s="5">
        <v>0</v>
      </c>
      <c r="J180" s="5">
        <v>0</v>
      </c>
      <c r="K180" s="5">
        <v>30</v>
      </c>
      <c r="L180" s="5">
        <v>99</v>
      </c>
      <c r="M180" s="5">
        <v>0</v>
      </c>
      <c r="N180" s="5">
        <v>4095</v>
      </c>
      <c r="O180" s="5">
        <v>0</v>
      </c>
      <c r="P180" s="5">
        <v>0</v>
      </c>
      <c r="Q180" s="5">
        <v>9</v>
      </c>
      <c r="R180" s="5">
        <v>0</v>
      </c>
      <c r="S180" s="5">
        <v>0</v>
      </c>
      <c r="T180" s="5">
        <v>0</v>
      </c>
      <c r="U180" s="5">
        <v>6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8">
        <f>SUM(B180:Z180)</f>
        <v>9952</v>
      </c>
    </row>
    <row r="181" spans="1:27" x14ac:dyDescent="0.25">
      <c r="A181" s="5" t="s">
        <v>225</v>
      </c>
      <c r="B181" s="5">
        <v>760</v>
      </c>
      <c r="C181" s="5">
        <v>1263</v>
      </c>
      <c r="D181" s="5">
        <v>31</v>
      </c>
      <c r="E181" s="5">
        <v>236</v>
      </c>
      <c r="F181" s="5">
        <v>373</v>
      </c>
      <c r="G181" s="5">
        <v>116</v>
      </c>
      <c r="H181" s="5">
        <v>2596</v>
      </c>
      <c r="I181" s="5">
        <v>0</v>
      </c>
      <c r="J181" s="5">
        <v>0</v>
      </c>
      <c r="K181" s="5">
        <v>10</v>
      </c>
      <c r="L181" s="5">
        <v>80</v>
      </c>
      <c r="M181" s="5">
        <v>0</v>
      </c>
      <c r="N181" s="5">
        <v>0</v>
      </c>
      <c r="O181" s="5">
        <v>0</v>
      </c>
      <c r="P181" s="5">
        <v>42</v>
      </c>
      <c r="Q181" s="5">
        <v>2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42</v>
      </c>
      <c r="X181" s="5">
        <v>0</v>
      </c>
      <c r="Y181" s="5">
        <v>0</v>
      </c>
      <c r="Z181" s="5">
        <v>0</v>
      </c>
      <c r="AA181" s="8">
        <f>SUM(B181:Z181)</f>
        <v>5551</v>
      </c>
    </row>
    <row r="182" spans="1:27" x14ac:dyDescent="0.25">
      <c r="A182" s="5" t="s">
        <v>227</v>
      </c>
      <c r="B182" s="5">
        <v>759</v>
      </c>
      <c r="C182" s="5">
        <v>591</v>
      </c>
      <c r="D182" s="5">
        <v>0</v>
      </c>
      <c r="E182" s="5">
        <v>0</v>
      </c>
      <c r="F182" s="5">
        <v>0</v>
      </c>
      <c r="G182" s="5">
        <v>0</v>
      </c>
      <c r="H182" s="5">
        <v>2468</v>
      </c>
      <c r="I182" s="5">
        <v>0</v>
      </c>
      <c r="J182" s="5">
        <v>0</v>
      </c>
      <c r="K182" s="5">
        <v>28</v>
      </c>
      <c r="L182" s="5">
        <v>49</v>
      </c>
      <c r="M182" s="5">
        <v>0</v>
      </c>
      <c r="N182" s="5">
        <v>0</v>
      </c>
      <c r="O182" s="5">
        <v>0</v>
      </c>
      <c r="P182" s="5">
        <v>5</v>
      </c>
      <c r="Q182" s="5">
        <v>1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9</v>
      </c>
      <c r="X182" s="5">
        <v>0</v>
      </c>
      <c r="Y182" s="5">
        <v>0</v>
      </c>
      <c r="Z182" s="5">
        <v>0</v>
      </c>
      <c r="AA182" s="8">
        <f>SUM(B182:Z182)</f>
        <v>3910</v>
      </c>
    </row>
    <row r="183" spans="1:27" x14ac:dyDescent="0.25">
      <c r="A183" s="5" t="s">
        <v>79</v>
      </c>
      <c r="B183" s="5">
        <v>743</v>
      </c>
      <c r="C183" s="5">
        <v>24</v>
      </c>
      <c r="D183" s="5">
        <v>0</v>
      </c>
      <c r="E183" s="5">
        <v>0</v>
      </c>
      <c r="F183" s="5">
        <v>0</v>
      </c>
      <c r="G183" s="5">
        <v>0</v>
      </c>
      <c r="H183" s="5">
        <v>1428</v>
      </c>
      <c r="I183" s="5">
        <v>0</v>
      </c>
      <c r="J183" s="5">
        <v>0</v>
      </c>
      <c r="K183" s="5">
        <v>17</v>
      </c>
      <c r="L183" s="5">
        <v>107</v>
      </c>
      <c r="M183" s="5">
        <v>0</v>
      </c>
      <c r="N183" s="5">
        <v>0</v>
      </c>
      <c r="O183" s="5">
        <v>0</v>
      </c>
      <c r="P183" s="5">
        <v>0</v>
      </c>
      <c r="Q183" s="5">
        <v>25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4</v>
      </c>
      <c r="X183" s="5">
        <v>0</v>
      </c>
      <c r="Y183" s="5">
        <v>0</v>
      </c>
      <c r="Z183" s="5">
        <v>0</v>
      </c>
      <c r="AA183" s="8">
        <f>SUM(B183:Z183)</f>
        <v>2348</v>
      </c>
    </row>
    <row r="184" spans="1:27" x14ac:dyDescent="0.25">
      <c r="A184" s="5" t="s">
        <v>96</v>
      </c>
      <c r="B184" s="5">
        <v>689</v>
      </c>
      <c r="C184" s="5">
        <v>1020</v>
      </c>
      <c r="D184" s="5">
        <v>0</v>
      </c>
      <c r="E184" s="5">
        <v>0</v>
      </c>
      <c r="F184" s="5">
        <v>0</v>
      </c>
      <c r="G184" s="5">
        <v>0</v>
      </c>
      <c r="H184" s="5">
        <v>6124</v>
      </c>
      <c r="I184" s="5">
        <v>0</v>
      </c>
      <c r="J184" s="5">
        <v>0</v>
      </c>
      <c r="K184" s="5">
        <v>29</v>
      </c>
      <c r="L184" s="5">
        <v>62</v>
      </c>
      <c r="M184" s="5">
        <v>0</v>
      </c>
      <c r="N184" s="5">
        <v>1348</v>
      </c>
      <c r="O184" s="5">
        <v>25</v>
      </c>
      <c r="P184" s="5">
        <v>17</v>
      </c>
      <c r="Q184" s="5">
        <v>32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8">
        <f>SUM(B184:Z184)</f>
        <v>9346</v>
      </c>
    </row>
    <row r="185" spans="1:27" x14ac:dyDescent="0.25">
      <c r="A185" s="5" t="s">
        <v>12</v>
      </c>
      <c r="B185" s="5">
        <v>673</v>
      </c>
      <c r="C185" s="5">
        <v>468</v>
      </c>
      <c r="D185" s="5">
        <v>0</v>
      </c>
      <c r="E185" s="5">
        <v>0</v>
      </c>
      <c r="F185" s="5">
        <v>0</v>
      </c>
      <c r="G185" s="5">
        <v>0</v>
      </c>
      <c r="H185" s="5">
        <v>3143</v>
      </c>
      <c r="I185" s="5">
        <v>0</v>
      </c>
      <c r="J185" s="5">
        <v>0</v>
      </c>
      <c r="K185" s="5">
        <v>14</v>
      </c>
      <c r="L185" s="5">
        <v>26</v>
      </c>
      <c r="M185" s="5">
        <v>0</v>
      </c>
      <c r="N185" s="5">
        <v>2079</v>
      </c>
      <c r="O185" s="5">
        <v>1</v>
      </c>
      <c r="P185" s="5">
        <v>21</v>
      </c>
      <c r="Q185" s="5">
        <v>4</v>
      </c>
      <c r="R185" s="5">
        <v>0</v>
      </c>
      <c r="S185" s="5">
        <v>0</v>
      </c>
      <c r="T185" s="5">
        <v>0</v>
      </c>
      <c r="U185" s="5">
        <v>7</v>
      </c>
      <c r="V185" s="5">
        <v>0</v>
      </c>
      <c r="W185" s="5">
        <v>0</v>
      </c>
      <c r="X185" s="5">
        <v>0</v>
      </c>
      <c r="Y185" s="5">
        <v>0</v>
      </c>
      <c r="Z185" s="5">
        <v>1</v>
      </c>
      <c r="AA185" s="8">
        <f>SUM(B185:Z185)</f>
        <v>6437</v>
      </c>
    </row>
    <row r="186" spans="1:27" x14ac:dyDescent="0.25">
      <c r="A186" s="5" t="s">
        <v>52</v>
      </c>
      <c r="B186" s="5">
        <v>672</v>
      </c>
      <c r="C186" s="5">
        <v>12459</v>
      </c>
      <c r="D186" s="5">
        <v>0</v>
      </c>
      <c r="E186" s="5">
        <v>0</v>
      </c>
      <c r="F186" s="5">
        <v>0</v>
      </c>
      <c r="G186" s="5">
        <v>0</v>
      </c>
      <c r="H186" s="5">
        <v>2768</v>
      </c>
      <c r="I186" s="5">
        <v>0</v>
      </c>
      <c r="J186" s="5">
        <v>0</v>
      </c>
      <c r="K186" s="5">
        <v>5</v>
      </c>
      <c r="L186" s="5">
        <v>27</v>
      </c>
      <c r="M186" s="5">
        <v>0</v>
      </c>
      <c r="N186" s="5">
        <v>13079</v>
      </c>
      <c r="O186" s="5">
        <v>0</v>
      </c>
      <c r="P186" s="5">
        <v>2</v>
      </c>
      <c r="Q186" s="5">
        <v>0</v>
      </c>
      <c r="R186" s="5">
        <v>0</v>
      </c>
      <c r="S186" s="5">
        <v>0</v>
      </c>
      <c r="T186" s="5">
        <v>830</v>
      </c>
      <c r="U186" s="5">
        <v>6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8">
        <f>SUM(B186:Z186)</f>
        <v>29848</v>
      </c>
    </row>
    <row r="187" spans="1:27" x14ac:dyDescent="0.25">
      <c r="A187" s="5" t="s">
        <v>19</v>
      </c>
      <c r="B187" s="5">
        <v>644</v>
      </c>
      <c r="C187" s="5">
        <v>7473</v>
      </c>
      <c r="D187" s="5">
        <v>0</v>
      </c>
      <c r="E187" s="5">
        <v>5</v>
      </c>
      <c r="F187" s="5">
        <v>616</v>
      </c>
      <c r="G187" s="5">
        <v>4</v>
      </c>
      <c r="H187" s="5">
        <v>3827</v>
      </c>
      <c r="I187" s="5">
        <v>0</v>
      </c>
      <c r="J187" s="5">
        <v>0</v>
      </c>
      <c r="K187" s="5">
        <v>52</v>
      </c>
      <c r="L187" s="5">
        <v>180</v>
      </c>
      <c r="M187" s="5">
        <v>0</v>
      </c>
      <c r="N187" s="5">
        <v>5248</v>
      </c>
      <c r="O187" s="5">
        <v>0</v>
      </c>
      <c r="P187" s="5">
        <v>0</v>
      </c>
      <c r="Q187" s="5">
        <v>0</v>
      </c>
      <c r="R187" s="5">
        <v>12</v>
      </c>
      <c r="S187" s="5">
        <v>0</v>
      </c>
      <c r="T187" s="5">
        <v>0</v>
      </c>
      <c r="U187" s="5">
        <v>1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8">
        <f>SUM(B187:Z187)</f>
        <v>18062</v>
      </c>
    </row>
    <row r="188" spans="1:27" x14ac:dyDescent="0.25">
      <c r="A188" s="5" t="s">
        <v>239</v>
      </c>
      <c r="B188" s="5">
        <v>639</v>
      </c>
      <c r="C188" s="5">
        <v>1981</v>
      </c>
      <c r="D188" s="5">
        <v>0</v>
      </c>
      <c r="E188" s="5">
        <v>3654</v>
      </c>
      <c r="F188" s="5">
        <v>810</v>
      </c>
      <c r="G188" s="5">
        <v>0</v>
      </c>
      <c r="H188" s="5">
        <v>2839</v>
      </c>
      <c r="I188" s="5">
        <v>0</v>
      </c>
      <c r="J188" s="5">
        <v>0</v>
      </c>
      <c r="K188" s="5">
        <v>28</v>
      </c>
      <c r="L188" s="5">
        <v>384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19</v>
      </c>
      <c r="S188" s="5">
        <v>0</v>
      </c>
      <c r="T188" s="5">
        <v>0</v>
      </c>
      <c r="U188" s="5">
        <v>0</v>
      </c>
      <c r="V188" s="5">
        <v>0</v>
      </c>
      <c r="W188" s="5">
        <v>3</v>
      </c>
      <c r="X188" s="5">
        <v>0</v>
      </c>
      <c r="Y188" s="5">
        <v>0</v>
      </c>
      <c r="Z188" s="5">
        <v>0</v>
      </c>
      <c r="AA188" s="8">
        <f>SUM(B188:Z188)</f>
        <v>10357</v>
      </c>
    </row>
    <row r="189" spans="1:27" x14ac:dyDescent="0.25">
      <c r="A189" s="5" t="s">
        <v>28</v>
      </c>
      <c r="B189" s="5">
        <v>635</v>
      </c>
      <c r="C189" s="5">
        <v>3316</v>
      </c>
      <c r="D189" s="5">
        <v>0</v>
      </c>
      <c r="E189" s="5">
        <v>0</v>
      </c>
      <c r="F189" s="5">
        <v>319</v>
      </c>
      <c r="G189" s="5">
        <v>1</v>
      </c>
      <c r="H189" s="5">
        <v>5294</v>
      </c>
      <c r="I189" s="5">
        <v>0</v>
      </c>
      <c r="J189" s="5">
        <v>0</v>
      </c>
      <c r="K189" s="5">
        <v>33</v>
      </c>
      <c r="L189" s="5">
        <v>108</v>
      </c>
      <c r="M189" s="5">
        <v>0</v>
      </c>
      <c r="N189" s="5">
        <v>893</v>
      </c>
      <c r="O189" s="5">
        <v>1</v>
      </c>
      <c r="P189" s="5">
        <v>6</v>
      </c>
      <c r="Q189" s="5">
        <v>0</v>
      </c>
      <c r="R189" s="5">
        <v>0</v>
      </c>
      <c r="S189" s="5">
        <v>0</v>
      </c>
      <c r="T189" s="5">
        <v>0</v>
      </c>
      <c r="U189" s="5">
        <v>4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8">
        <f>SUM(B189:Z189)</f>
        <v>10610</v>
      </c>
    </row>
    <row r="190" spans="1:27" x14ac:dyDescent="0.25">
      <c r="A190" s="5" t="s">
        <v>39</v>
      </c>
      <c r="B190" s="5">
        <v>632</v>
      </c>
      <c r="C190" s="5">
        <v>3452</v>
      </c>
      <c r="D190" s="5">
        <v>0</v>
      </c>
      <c r="E190" s="5">
        <v>3</v>
      </c>
      <c r="F190" s="5">
        <v>13</v>
      </c>
      <c r="G190" s="5">
        <v>10</v>
      </c>
      <c r="H190" s="5">
        <v>2701</v>
      </c>
      <c r="I190" s="5">
        <v>0</v>
      </c>
      <c r="J190" s="5">
        <v>0</v>
      </c>
      <c r="K190" s="5">
        <v>23</v>
      </c>
      <c r="L190" s="5">
        <v>41</v>
      </c>
      <c r="M190" s="5">
        <v>0</v>
      </c>
      <c r="N190" s="5">
        <v>4404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0</v>
      </c>
      <c r="U190" s="5">
        <v>12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8">
        <f>SUM(B190:Z190)</f>
        <v>11294</v>
      </c>
    </row>
    <row r="191" spans="1:27" x14ac:dyDescent="0.25">
      <c r="A191" s="5" t="s">
        <v>9</v>
      </c>
      <c r="B191" s="5">
        <v>590</v>
      </c>
      <c r="C191" s="5">
        <v>2411</v>
      </c>
      <c r="D191" s="5">
        <v>0</v>
      </c>
      <c r="E191" s="5">
        <v>0</v>
      </c>
      <c r="F191" s="5">
        <v>0</v>
      </c>
      <c r="G191" s="5">
        <v>8</v>
      </c>
      <c r="H191" s="5">
        <v>4469</v>
      </c>
      <c r="I191" s="5">
        <v>0</v>
      </c>
      <c r="J191" s="5">
        <v>0</v>
      </c>
      <c r="K191" s="5">
        <v>25</v>
      </c>
      <c r="L191" s="5">
        <v>124</v>
      </c>
      <c r="M191" s="5">
        <v>0</v>
      </c>
      <c r="N191" s="5">
        <v>6583</v>
      </c>
      <c r="O191" s="5">
        <v>0</v>
      </c>
      <c r="P191" s="5">
        <v>0</v>
      </c>
      <c r="Q191" s="5">
        <v>7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8">
        <f>SUM(B191:Z191)</f>
        <v>14217</v>
      </c>
    </row>
    <row r="192" spans="1:27" x14ac:dyDescent="0.25">
      <c r="A192" s="5" t="s">
        <v>82</v>
      </c>
      <c r="B192" s="5">
        <v>539</v>
      </c>
      <c r="C192" s="5">
        <v>731</v>
      </c>
      <c r="D192" s="5">
        <v>0</v>
      </c>
      <c r="E192" s="5">
        <v>0</v>
      </c>
      <c r="F192" s="5">
        <v>20</v>
      </c>
      <c r="G192" s="5">
        <v>0</v>
      </c>
      <c r="H192" s="5">
        <v>1626</v>
      </c>
      <c r="I192" s="5">
        <v>0</v>
      </c>
      <c r="J192" s="5">
        <v>0</v>
      </c>
      <c r="K192" s="5">
        <v>138</v>
      </c>
      <c r="L192" s="5">
        <v>429</v>
      </c>
      <c r="M192" s="5">
        <v>0</v>
      </c>
      <c r="N192" s="5">
        <v>0</v>
      </c>
      <c r="O192" s="5">
        <v>0</v>
      </c>
      <c r="P192" s="5">
        <v>47</v>
      </c>
      <c r="Q192" s="5">
        <v>3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44</v>
      </c>
      <c r="X192" s="5">
        <v>0</v>
      </c>
      <c r="Y192" s="5">
        <v>0</v>
      </c>
      <c r="Z192" s="5">
        <v>0</v>
      </c>
      <c r="AA192" s="8">
        <f>SUM(B192:Z192)</f>
        <v>3577</v>
      </c>
    </row>
    <row r="193" spans="1:27" x14ac:dyDescent="0.25">
      <c r="A193" s="5" t="s">
        <v>191</v>
      </c>
      <c r="B193" s="5">
        <v>533</v>
      </c>
      <c r="C193" s="5">
        <v>1357</v>
      </c>
      <c r="D193" s="5">
        <v>0</v>
      </c>
      <c r="E193" s="5">
        <v>0</v>
      </c>
      <c r="F193" s="5">
        <v>0</v>
      </c>
      <c r="G193" s="5">
        <v>42</v>
      </c>
      <c r="H193" s="5">
        <v>2655</v>
      </c>
      <c r="I193" s="5">
        <v>0</v>
      </c>
      <c r="J193" s="5">
        <v>7</v>
      </c>
      <c r="K193" s="5">
        <v>9</v>
      </c>
      <c r="L193" s="5">
        <v>78</v>
      </c>
      <c r="M193" s="5">
        <v>0</v>
      </c>
      <c r="N193" s="5">
        <v>1</v>
      </c>
      <c r="O193" s="5">
        <v>0</v>
      </c>
      <c r="P193" s="5">
        <v>0</v>
      </c>
      <c r="Q193" s="5">
        <v>40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3</v>
      </c>
      <c r="X193" s="5">
        <v>0</v>
      </c>
      <c r="Y193" s="5">
        <v>0</v>
      </c>
      <c r="Z193" s="5">
        <v>5</v>
      </c>
      <c r="AA193" s="8">
        <f>SUM(B193:Z193)</f>
        <v>4730</v>
      </c>
    </row>
    <row r="194" spans="1:27" x14ac:dyDescent="0.25">
      <c r="A194" s="5" t="s">
        <v>23</v>
      </c>
      <c r="B194" s="5">
        <v>532</v>
      </c>
      <c r="C194" s="5">
        <v>1249</v>
      </c>
      <c r="D194" s="5">
        <v>0</v>
      </c>
      <c r="E194" s="5">
        <v>0</v>
      </c>
      <c r="F194" s="5">
        <v>0</v>
      </c>
      <c r="G194" s="5">
        <v>3</v>
      </c>
      <c r="H194" s="5">
        <v>4306</v>
      </c>
      <c r="I194" s="5">
        <v>0</v>
      </c>
      <c r="J194" s="5">
        <v>0</v>
      </c>
      <c r="K194" s="5">
        <v>13</v>
      </c>
      <c r="L194" s="5">
        <v>12</v>
      </c>
      <c r="M194" s="5">
        <v>0</v>
      </c>
      <c r="N194" s="5">
        <v>4995</v>
      </c>
      <c r="O194" s="5">
        <v>0</v>
      </c>
      <c r="P194" s="5">
        <v>26</v>
      </c>
      <c r="Q194" s="5">
        <v>16</v>
      </c>
      <c r="R194" s="5">
        <v>0</v>
      </c>
      <c r="S194" s="5">
        <v>0</v>
      </c>
      <c r="T194" s="5">
        <v>0</v>
      </c>
      <c r="U194" s="5">
        <v>3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8">
        <f>SUM(B194:Z194)</f>
        <v>11155</v>
      </c>
    </row>
    <row r="195" spans="1:27" x14ac:dyDescent="0.25">
      <c r="A195" s="5" t="s">
        <v>22</v>
      </c>
      <c r="B195" s="5">
        <v>528</v>
      </c>
      <c r="C195" s="5">
        <v>1876</v>
      </c>
      <c r="D195" s="5">
        <v>0</v>
      </c>
      <c r="E195" s="5">
        <v>0</v>
      </c>
      <c r="F195" s="5">
        <v>0</v>
      </c>
      <c r="G195" s="5">
        <v>4</v>
      </c>
      <c r="H195" s="5">
        <v>8739</v>
      </c>
      <c r="I195" s="5">
        <v>0</v>
      </c>
      <c r="J195" s="5">
        <v>0</v>
      </c>
      <c r="K195" s="5">
        <v>26</v>
      </c>
      <c r="L195" s="5">
        <v>24</v>
      </c>
      <c r="M195" s="5">
        <v>0</v>
      </c>
      <c r="N195" s="5">
        <v>246</v>
      </c>
      <c r="O195" s="5">
        <v>0</v>
      </c>
      <c r="P195" s="5">
        <v>28</v>
      </c>
      <c r="Q195" s="5">
        <v>86</v>
      </c>
      <c r="R195" s="5">
        <v>0</v>
      </c>
      <c r="S195" s="5">
        <v>0</v>
      </c>
      <c r="T195" s="5">
        <v>0</v>
      </c>
      <c r="U195" s="5">
        <v>8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8">
        <f>SUM(B195:Z195)</f>
        <v>11565</v>
      </c>
    </row>
    <row r="196" spans="1:27" x14ac:dyDescent="0.25">
      <c r="A196" s="5" t="s">
        <v>288</v>
      </c>
      <c r="B196" s="5">
        <v>523</v>
      </c>
      <c r="C196" s="5">
        <v>388</v>
      </c>
      <c r="D196" s="5">
        <v>0</v>
      </c>
      <c r="E196" s="5">
        <v>1</v>
      </c>
      <c r="F196" s="5">
        <v>4</v>
      </c>
      <c r="G196" s="5">
        <v>4</v>
      </c>
      <c r="H196" s="5">
        <v>2758</v>
      </c>
      <c r="I196" s="5">
        <v>0</v>
      </c>
      <c r="J196" s="5">
        <v>0</v>
      </c>
      <c r="K196" s="5">
        <v>10</v>
      </c>
      <c r="L196" s="5">
        <v>263</v>
      </c>
      <c r="M196" s="5">
        <v>0</v>
      </c>
      <c r="N196" s="5">
        <v>0</v>
      </c>
      <c r="O196" s="5">
        <v>0</v>
      </c>
      <c r="P196" s="5">
        <v>0</v>
      </c>
      <c r="Q196" s="5">
        <v>94</v>
      </c>
      <c r="R196" s="5">
        <v>0</v>
      </c>
      <c r="S196" s="5">
        <v>0</v>
      </c>
      <c r="T196" s="5">
        <v>0</v>
      </c>
      <c r="U196" s="5">
        <v>1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8">
        <f>SUM(B196:Z196)</f>
        <v>4046</v>
      </c>
    </row>
    <row r="197" spans="1:27" x14ac:dyDescent="0.25">
      <c r="A197" s="5" t="s">
        <v>266</v>
      </c>
      <c r="B197" s="5">
        <v>516</v>
      </c>
      <c r="C197" s="5">
        <v>5093</v>
      </c>
      <c r="D197" s="5">
        <v>0</v>
      </c>
      <c r="E197" s="5">
        <v>0</v>
      </c>
      <c r="F197" s="5">
        <v>60</v>
      </c>
      <c r="G197" s="5">
        <v>0</v>
      </c>
      <c r="H197" s="5">
        <v>8597</v>
      </c>
      <c r="I197" s="5">
        <v>0</v>
      </c>
      <c r="J197" s="5">
        <v>0</v>
      </c>
      <c r="K197" s="5">
        <v>20</v>
      </c>
      <c r="L197" s="5">
        <v>49</v>
      </c>
      <c r="M197" s="5">
        <v>0</v>
      </c>
      <c r="N197" s="5">
        <v>1701</v>
      </c>
      <c r="O197" s="5">
        <v>0</v>
      </c>
      <c r="P197" s="5">
        <v>7</v>
      </c>
      <c r="Q197" s="5">
        <v>39</v>
      </c>
      <c r="R197" s="5">
        <v>0</v>
      </c>
      <c r="S197" s="5">
        <v>0</v>
      </c>
      <c r="T197" s="5">
        <v>36</v>
      </c>
      <c r="U197" s="5">
        <v>0</v>
      </c>
      <c r="V197" s="5">
        <v>0</v>
      </c>
      <c r="W197" s="5">
        <v>68</v>
      </c>
      <c r="X197" s="5">
        <v>0</v>
      </c>
      <c r="Y197" s="5">
        <v>0</v>
      </c>
      <c r="Z197" s="5">
        <v>0</v>
      </c>
      <c r="AA197" s="8">
        <f>SUM(B197:Z197)</f>
        <v>16186</v>
      </c>
    </row>
    <row r="198" spans="1:27" x14ac:dyDescent="0.25">
      <c r="A198" s="5" t="s">
        <v>189</v>
      </c>
      <c r="B198" s="5">
        <v>514</v>
      </c>
      <c r="C198" s="5">
        <v>502</v>
      </c>
      <c r="D198" s="5">
        <v>0</v>
      </c>
      <c r="E198" s="5">
        <v>0</v>
      </c>
      <c r="F198" s="5">
        <v>0</v>
      </c>
      <c r="G198" s="5">
        <v>4</v>
      </c>
      <c r="H198" s="5">
        <v>3787</v>
      </c>
      <c r="I198" s="5">
        <v>0</v>
      </c>
      <c r="J198" s="5">
        <v>37</v>
      </c>
      <c r="K198" s="5">
        <v>16</v>
      </c>
      <c r="L198" s="5">
        <v>164</v>
      </c>
      <c r="M198" s="5">
        <v>0</v>
      </c>
      <c r="N198" s="5">
        <v>221</v>
      </c>
      <c r="O198" s="5">
        <v>2</v>
      </c>
      <c r="P198" s="5">
        <v>23</v>
      </c>
      <c r="Q198" s="5">
        <v>9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8">
        <f>SUM(B198:Z198)</f>
        <v>5279</v>
      </c>
    </row>
    <row r="199" spans="1:27" x14ac:dyDescent="0.25">
      <c r="A199" s="5" t="s">
        <v>46</v>
      </c>
      <c r="B199" s="5">
        <v>507</v>
      </c>
      <c r="C199" s="5">
        <v>3403</v>
      </c>
      <c r="D199" s="5">
        <v>0</v>
      </c>
      <c r="E199" s="5">
        <v>0</v>
      </c>
      <c r="F199" s="5">
        <v>2</v>
      </c>
      <c r="G199" s="5">
        <v>1</v>
      </c>
      <c r="H199" s="5">
        <v>7048</v>
      </c>
      <c r="I199" s="5">
        <v>0</v>
      </c>
      <c r="J199" s="5">
        <v>0</v>
      </c>
      <c r="K199" s="5">
        <v>21</v>
      </c>
      <c r="L199" s="5">
        <v>170</v>
      </c>
      <c r="M199" s="5">
        <v>0</v>
      </c>
      <c r="N199" s="5">
        <v>4912</v>
      </c>
      <c r="O199" s="5">
        <v>0</v>
      </c>
      <c r="P199" s="5">
        <v>0</v>
      </c>
      <c r="Q199" s="5">
        <v>2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3</v>
      </c>
      <c r="X199" s="5">
        <v>0</v>
      </c>
      <c r="Y199" s="5">
        <v>0</v>
      </c>
      <c r="Z199" s="5">
        <v>0</v>
      </c>
      <c r="AA199" s="8">
        <f>SUM(B199:Z199)</f>
        <v>16069</v>
      </c>
    </row>
    <row r="200" spans="1:27" x14ac:dyDescent="0.25">
      <c r="A200" s="5" t="s">
        <v>207</v>
      </c>
      <c r="B200" s="5">
        <v>489</v>
      </c>
      <c r="C200" s="5">
        <v>620</v>
      </c>
      <c r="D200" s="5">
        <v>0</v>
      </c>
      <c r="E200" s="5">
        <v>0</v>
      </c>
      <c r="F200" s="5">
        <v>0</v>
      </c>
      <c r="G200" s="5">
        <v>0</v>
      </c>
      <c r="H200" s="5">
        <v>2597</v>
      </c>
      <c r="I200" s="5">
        <v>0</v>
      </c>
      <c r="J200" s="5">
        <v>0</v>
      </c>
      <c r="K200" s="5">
        <v>24</v>
      </c>
      <c r="L200" s="5">
        <v>194</v>
      </c>
      <c r="M200" s="5">
        <v>0</v>
      </c>
      <c r="N200" s="5">
        <v>0</v>
      </c>
      <c r="O200" s="5">
        <v>19</v>
      </c>
      <c r="P200" s="5">
        <v>7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70</v>
      </c>
      <c r="X200" s="5">
        <v>0</v>
      </c>
      <c r="Y200" s="5">
        <v>0</v>
      </c>
      <c r="Z200" s="5">
        <v>0</v>
      </c>
      <c r="AA200" s="8">
        <f>SUM(B200:Z200)</f>
        <v>4020</v>
      </c>
    </row>
    <row r="201" spans="1:27" x14ac:dyDescent="0.25">
      <c r="A201" s="5" t="s">
        <v>240</v>
      </c>
      <c r="B201" s="5">
        <v>477</v>
      </c>
      <c r="C201" s="5">
        <v>13771</v>
      </c>
      <c r="D201" s="5">
        <v>592</v>
      </c>
      <c r="E201" s="5">
        <v>20</v>
      </c>
      <c r="F201" s="5">
        <v>1568</v>
      </c>
      <c r="G201" s="5">
        <v>125</v>
      </c>
      <c r="H201" s="5">
        <v>2103</v>
      </c>
      <c r="I201" s="5">
        <v>0</v>
      </c>
      <c r="J201" s="5">
        <v>0</v>
      </c>
      <c r="K201" s="5">
        <v>29</v>
      </c>
      <c r="L201" s="5">
        <v>207</v>
      </c>
      <c r="M201" s="5">
        <v>0</v>
      </c>
      <c r="N201" s="5">
        <v>5112</v>
      </c>
      <c r="O201" s="5">
        <v>1</v>
      </c>
      <c r="P201" s="5">
        <v>0</v>
      </c>
      <c r="Q201" s="5">
        <v>2</v>
      </c>
      <c r="R201" s="5">
        <v>0</v>
      </c>
      <c r="S201" s="5">
        <v>0</v>
      </c>
      <c r="T201" s="5">
        <v>0</v>
      </c>
      <c r="U201" s="5">
        <v>1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8">
        <f>SUM(B201:Z201)</f>
        <v>24008</v>
      </c>
    </row>
    <row r="202" spans="1:27" x14ac:dyDescent="0.25">
      <c r="A202" s="5" t="s">
        <v>26</v>
      </c>
      <c r="B202" s="5">
        <v>453</v>
      </c>
      <c r="C202" s="5">
        <v>1861</v>
      </c>
      <c r="D202" s="5">
        <v>0</v>
      </c>
      <c r="E202" s="5">
        <v>0</v>
      </c>
      <c r="F202" s="5">
        <v>0</v>
      </c>
      <c r="G202" s="5">
        <v>8</v>
      </c>
      <c r="H202" s="5">
        <v>6030</v>
      </c>
      <c r="I202" s="5">
        <v>0</v>
      </c>
      <c r="J202" s="5">
        <v>0</v>
      </c>
      <c r="K202" s="5">
        <v>15</v>
      </c>
      <c r="L202" s="5">
        <v>29</v>
      </c>
      <c r="M202" s="5">
        <v>0</v>
      </c>
      <c r="N202" s="5">
        <v>4202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8">
        <f>SUM(B202:Z202)</f>
        <v>12599</v>
      </c>
    </row>
    <row r="203" spans="1:27" x14ac:dyDescent="0.25">
      <c r="A203" s="5" t="s">
        <v>40</v>
      </c>
      <c r="B203" s="5">
        <v>434</v>
      </c>
      <c r="C203" s="5">
        <v>27292</v>
      </c>
      <c r="D203" s="5">
        <v>0</v>
      </c>
      <c r="E203" s="5">
        <v>103</v>
      </c>
      <c r="F203" s="5">
        <v>96</v>
      </c>
      <c r="G203" s="5">
        <v>0</v>
      </c>
      <c r="H203" s="5">
        <v>2276</v>
      </c>
      <c r="I203" s="5">
        <v>0</v>
      </c>
      <c r="J203" s="5">
        <v>0</v>
      </c>
      <c r="K203" s="5">
        <v>2</v>
      </c>
      <c r="L203" s="5">
        <v>27</v>
      </c>
      <c r="M203" s="5">
        <v>0</v>
      </c>
      <c r="N203" s="5">
        <v>4391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15</v>
      </c>
      <c r="X203" s="5">
        <v>0</v>
      </c>
      <c r="Y203" s="5">
        <v>0</v>
      </c>
      <c r="Z203" s="5">
        <v>0</v>
      </c>
      <c r="AA203" s="8">
        <f>SUM(B203:Z203)</f>
        <v>34636</v>
      </c>
    </row>
    <row r="204" spans="1:27" x14ac:dyDescent="0.25">
      <c r="A204" s="5" t="s">
        <v>223</v>
      </c>
      <c r="B204" s="5">
        <v>426</v>
      </c>
      <c r="C204" s="5">
        <v>322</v>
      </c>
      <c r="D204" s="5">
        <v>0</v>
      </c>
      <c r="E204" s="5">
        <v>0</v>
      </c>
      <c r="F204" s="5">
        <v>37</v>
      </c>
      <c r="G204" s="5">
        <v>0</v>
      </c>
      <c r="H204" s="5">
        <v>1556</v>
      </c>
      <c r="I204" s="5">
        <v>0</v>
      </c>
      <c r="J204" s="5">
        <v>0</v>
      </c>
      <c r="K204" s="5">
        <v>13</v>
      </c>
      <c r="L204" s="5">
        <v>129</v>
      </c>
      <c r="M204" s="5">
        <v>0</v>
      </c>
      <c r="N204" s="5">
        <v>0</v>
      </c>
      <c r="O204" s="5">
        <v>19</v>
      </c>
      <c r="P204" s="5">
        <v>9</v>
      </c>
      <c r="Q204" s="5">
        <v>5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16</v>
      </c>
      <c r="X204" s="5">
        <v>0</v>
      </c>
      <c r="Y204" s="5">
        <v>0</v>
      </c>
      <c r="Z204" s="5">
        <v>0</v>
      </c>
      <c r="AA204" s="8">
        <f>SUM(B204:Z204)</f>
        <v>2532</v>
      </c>
    </row>
    <row r="205" spans="1:27" x14ac:dyDescent="0.25">
      <c r="A205" s="5" t="s">
        <v>142</v>
      </c>
      <c r="B205" s="5">
        <v>414</v>
      </c>
      <c r="C205" s="5">
        <v>419</v>
      </c>
      <c r="D205" s="5">
        <v>0</v>
      </c>
      <c r="E205" s="5">
        <v>0</v>
      </c>
      <c r="F205" s="5">
        <v>175</v>
      </c>
      <c r="G205" s="5">
        <v>17</v>
      </c>
      <c r="H205" s="5">
        <v>1691</v>
      </c>
      <c r="I205" s="5">
        <v>0</v>
      </c>
      <c r="J205" s="5">
        <v>0</v>
      </c>
      <c r="K205" s="5">
        <v>13</v>
      </c>
      <c r="L205" s="5">
        <v>39</v>
      </c>
      <c r="M205" s="5">
        <v>0</v>
      </c>
      <c r="N205" s="5">
        <v>250</v>
      </c>
      <c r="O205" s="5">
        <v>0</v>
      </c>
      <c r="P205" s="5">
        <v>34</v>
      </c>
      <c r="Q205" s="5">
        <v>3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8">
        <f>SUM(B205:Z205)</f>
        <v>3055</v>
      </c>
    </row>
    <row r="206" spans="1:27" x14ac:dyDescent="0.25">
      <c r="A206" s="5" t="s">
        <v>42</v>
      </c>
      <c r="B206" s="5">
        <v>413</v>
      </c>
      <c r="C206" s="5">
        <v>3910</v>
      </c>
      <c r="D206" s="5">
        <v>0</v>
      </c>
      <c r="E206" s="5">
        <v>18</v>
      </c>
      <c r="F206" s="5">
        <v>257</v>
      </c>
      <c r="G206" s="5">
        <v>0</v>
      </c>
      <c r="H206" s="5">
        <v>3315</v>
      </c>
      <c r="I206" s="5">
        <v>0</v>
      </c>
      <c r="J206" s="5">
        <v>0</v>
      </c>
      <c r="K206" s="5">
        <v>11</v>
      </c>
      <c r="L206" s="5">
        <v>26</v>
      </c>
      <c r="M206" s="5">
        <v>0</v>
      </c>
      <c r="N206" s="5">
        <v>694</v>
      </c>
      <c r="O206" s="5">
        <v>1</v>
      </c>
      <c r="P206" s="5">
        <v>0</v>
      </c>
      <c r="Q206" s="5">
        <v>9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8">
        <f>SUM(B206:Z206)</f>
        <v>8654</v>
      </c>
    </row>
    <row r="207" spans="1:27" x14ac:dyDescent="0.25">
      <c r="A207" s="5" t="s">
        <v>137</v>
      </c>
      <c r="B207" s="5">
        <v>403</v>
      </c>
      <c r="C207" s="5">
        <v>4027</v>
      </c>
      <c r="D207" s="5">
        <v>0</v>
      </c>
      <c r="E207" s="5">
        <v>0</v>
      </c>
      <c r="F207" s="5">
        <v>1</v>
      </c>
      <c r="G207" s="5">
        <v>3</v>
      </c>
      <c r="H207" s="5">
        <v>1530</v>
      </c>
      <c r="I207" s="5">
        <v>0</v>
      </c>
      <c r="J207" s="5">
        <v>0</v>
      </c>
      <c r="K207" s="5">
        <v>10</v>
      </c>
      <c r="L207" s="5">
        <v>23</v>
      </c>
      <c r="M207" s="5">
        <v>0</v>
      </c>
      <c r="N207" s="5">
        <v>9311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8">
        <f>SUM(B207:Z207)</f>
        <v>15308</v>
      </c>
    </row>
    <row r="208" spans="1:27" x14ac:dyDescent="0.25">
      <c r="A208" s="5" t="s">
        <v>147</v>
      </c>
      <c r="B208" s="5">
        <v>380</v>
      </c>
      <c r="C208" s="5">
        <v>1097</v>
      </c>
      <c r="D208" s="5">
        <v>0</v>
      </c>
      <c r="E208" s="5">
        <v>0</v>
      </c>
      <c r="F208" s="5">
        <v>52</v>
      </c>
      <c r="G208" s="5">
        <v>3</v>
      </c>
      <c r="H208" s="5">
        <v>1646</v>
      </c>
      <c r="I208" s="5">
        <v>0</v>
      </c>
      <c r="J208" s="5">
        <v>0</v>
      </c>
      <c r="K208" s="5">
        <v>8</v>
      </c>
      <c r="L208" s="5">
        <v>12</v>
      </c>
      <c r="M208" s="5">
        <v>0</v>
      </c>
      <c r="N208" s="5">
        <v>1951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1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8">
        <f>SUM(B208:Z208)</f>
        <v>5150</v>
      </c>
    </row>
    <row r="209" spans="1:27" x14ac:dyDescent="0.25">
      <c r="A209" s="5" t="s">
        <v>197</v>
      </c>
      <c r="B209" s="5">
        <v>379</v>
      </c>
      <c r="C209" s="5">
        <v>742</v>
      </c>
      <c r="D209" s="5">
        <v>0</v>
      </c>
      <c r="E209" s="5">
        <v>0</v>
      </c>
      <c r="F209" s="5">
        <v>0</v>
      </c>
      <c r="G209" s="5">
        <v>0</v>
      </c>
      <c r="H209" s="5">
        <v>2553</v>
      </c>
      <c r="I209" s="5">
        <v>0</v>
      </c>
      <c r="J209" s="5">
        <v>0</v>
      </c>
      <c r="K209" s="5">
        <v>19</v>
      </c>
      <c r="L209" s="5">
        <v>14</v>
      </c>
      <c r="M209" s="5">
        <v>0</v>
      </c>
      <c r="N209" s="5">
        <v>0</v>
      </c>
      <c r="O209" s="5">
        <v>36</v>
      </c>
      <c r="P209" s="5">
        <v>9</v>
      </c>
      <c r="Q209" s="5">
        <v>10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8">
        <f>SUM(B209:Z209)</f>
        <v>3762</v>
      </c>
    </row>
    <row r="210" spans="1:27" x14ac:dyDescent="0.25">
      <c r="A210" s="5" t="s">
        <v>251</v>
      </c>
      <c r="B210" s="5">
        <v>369</v>
      </c>
      <c r="C210" s="5">
        <v>3540</v>
      </c>
      <c r="D210" s="5">
        <v>2</v>
      </c>
      <c r="E210" s="5">
        <v>0</v>
      </c>
      <c r="F210" s="5">
        <v>0</v>
      </c>
      <c r="G210" s="5">
        <v>10</v>
      </c>
      <c r="H210" s="5">
        <v>3574</v>
      </c>
      <c r="I210" s="5">
        <v>0</v>
      </c>
      <c r="J210" s="5">
        <v>0</v>
      </c>
      <c r="K210" s="5">
        <v>6</v>
      </c>
      <c r="L210" s="5">
        <v>79</v>
      </c>
      <c r="M210" s="5">
        <v>0</v>
      </c>
      <c r="N210" s="5">
        <v>5327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8">
        <f>SUM(B210:Z210)</f>
        <v>12907</v>
      </c>
    </row>
    <row r="211" spans="1:27" x14ac:dyDescent="0.25">
      <c r="A211" s="5" t="s">
        <v>194</v>
      </c>
      <c r="B211" s="5">
        <v>356</v>
      </c>
      <c r="C211" s="5">
        <v>3032</v>
      </c>
      <c r="D211" s="5">
        <v>0</v>
      </c>
      <c r="E211" s="5">
        <v>29</v>
      </c>
      <c r="F211" s="5">
        <v>6</v>
      </c>
      <c r="G211" s="5">
        <v>2</v>
      </c>
      <c r="H211" s="5">
        <v>5678</v>
      </c>
      <c r="I211" s="5">
        <v>0</v>
      </c>
      <c r="J211" s="5">
        <v>2</v>
      </c>
      <c r="K211" s="5">
        <v>31</v>
      </c>
      <c r="L211" s="5">
        <v>26</v>
      </c>
      <c r="M211" s="5">
        <v>0</v>
      </c>
      <c r="N211" s="5">
        <v>2413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8">
        <f>SUM(B211:Z211)</f>
        <v>11575</v>
      </c>
    </row>
    <row r="212" spans="1:27" x14ac:dyDescent="0.25">
      <c r="A212" s="5" t="s">
        <v>166</v>
      </c>
      <c r="B212" s="5">
        <v>352</v>
      </c>
      <c r="C212" s="5">
        <v>289</v>
      </c>
      <c r="D212" s="5">
        <v>21</v>
      </c>
      <c r="E212" s="5">
        <v>0</v>
      </c>
      <c r="F212" s="5">
        <v>193</v>
      </c>
      <c r="G212" s="5">
        <v>4</v>
      </c>
      <c r="H212" s="5">
        <v>2994</v>
      </c>
      <c r="I212" s="5">
        <v>0</v>
      </c>
      <c r="J212" s="5">
        <v>0</v>
      </c>
      <c r="K212" s="5">
        <v>3</v>
      </c>
      <c r="L212" s="5">
        <v>13</v>
      </c>
      <c r="M212" s="5">
        <v>0</v>
      </c>
      <c r="N212" s="5">
        <v>0</v>
      </c>
      <c r="O212" s="5">
        <v>0</v>
      </c>
      <c r="P212" s="5">
        <v>40</v>
      </c>
      <c r="Q212" s="5">
        <v>24</v>
      </c>
      <c r="R212" s="5">
        <v>0</v>
      </c>
      <c r="S212" s="5">
        <v>0</v>
      </c>
      <c r="T212" s="5">
        <v>0</v>
      </c>
      <c r="U212" s="5">
        <v>8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8">
        <f>SUM(B212:Z212)</f>
        <v>3941</v>
      </c>
    </row>
    <row r="213" spans="1:27" x14ac:dyDescent="0.25">
      <c r="A213" s="5" t="s">
        <v>156</v>
      </c>
      <c r="B213" s="5">
        <v>351</v>
      </c>
      <c r="C213" s="5">
        <v>3511</v>
      </c>
      <c r="D213" s="5">
        <v>0</v>
      </c>
      <c r="E213" s="5">
        <v>0</v>
      </c>
      <c r="F213" s="5">
        <v>83</v>
      </c>
      <c r="G213" s="5">
        <v>5</v>
      </c>
      <c r="H213" s="5">
        <v>2526</v>
      </c>
      <c r="I213" s="5">
        <v>0</v>
      </c>
      <c r="J213" s="5">
        <v>0</v>
      </c>
      <c r="K213" s="5">
        <v>1</v>
      </c>
      <c r="L213" s="5">
        <v>1</v>
      </c>
      <c r="M213" s="5">
        <v>0</v>
      </c>
      <c r="N213" s="5">
        <v>6470</v>
      </c>
      <c r="O213" s="5">
        <v>0</v>
      </c>
      <c r="P213" s="5">
        <v>1</v>
      </c>
      <c r="Q213" s="5">
        <v>4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8">
        <f>SUM(B213:Z213)</f>
        <v>12953</v>
      </c>
    </row>
    <row r="214" spans="1:27" x14ac:dyDescent="0.25">
      <c r="A214" s="5" t="s">
        <v>44</v>
      </c>
      <c r="B214" s="5">
        <v>344</v>
      </c>
      <c r="C214" s="5">
        <v>8108</v>
      </c>
      <c r="D214" s="5">
        <v>0</v>
      </c>
      <c r="E214" s="5">
        <v>182</v>
      </c>
      <c r="F214" s="5">
        <v>41</v>
      </c>
      <c r="G214" s="5">
        <v>0</v>
      </c>
      <c r="H214" s="5">
        <v>5577</v>
      </c>
      <c r="I214" s="5">
        <v>0</v>
      </c>
      <c r="J214" s="5">
        <v>0</v>
      </c>
      <c r="K214" s="5">
        <v>35</v>
      </c>
      <c r="L214" s="5">
        <v>58</v>
      </c>
      <c r="M214" s="5">
        <v>0</v>
      </c>
      <c r="N214" s="5">
        <v>1285</v>
      </c>
      <c r="O214" s="5">
        <v>3</v>
      </c>
      <c r="P214" s="5">
        <v>0</v>
      </c>
      <c r="Q214" s="5">
        <v>1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12</v>
      </c>
      <c r="X214" s="5">
        <v>0</v>
      </c>
      <c r="Y214" s="5">
        <v>0</v>
      </c>
      <c r="Z214" s="5">
        <v>0</v>
      </c>
      <c r="AA214" s="8">
        <f>SUM(B214:Z214)</f>
        <v>15646</v>
      </c>
    </row>
    <row r="215" spans="1:27" x14ac:dyDescent="0.25">
      <c r="A215" s="5" t="s">
        <v>51</v>
      </c>
      <c r="B215" s="5">
        <v>336</v>
      </c>
      <c r="C215" s="5">
        <v>11742</v>
      </c>
      <c r="D215" s="5">
        <v>0</v>
      </c>
      <c r="E215" s="5">
        <v>0</v>
      </c>
      <c r="F215" s="5">
        <v>126</v>
      </c>
      <c r="G215" s="5">
        <v>6</v>
      </c>
      <c r="H215" s="5">
        <v>3425</v>
      </c>
      <c r="I215" s="5">
        <v>0</v>
      </c>
      <c r="J215" s="5">
        <v>0</v>
      </c>
      <c r="K215" s="5">
        <v>17</v>
      </c>
      <c r="L215" s="5">
        <v>56</v>
      </c>
      <c r="M215" s="5">
        <v>0</v>
      </c>
      <c r="N215" s="5">
        <v>11492</v>
      </c>
      <c r="O215" s="5">
        <v>0</v>
      </c>
      <c r="P215" s="5">
        <v>1</v>
      </c>
      <c r="Q215" s="5">
        <v>0</v>
      </c>
      <c r="R215" s="5">
        <v>0</v>
      </c>
      <c r="S215" s="5">
        <v>0</v>
      </c>
      <c r="T215" s="5">
        <v>0</v>
      </c>
      <c r="U215" s="5">
        <v>1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8">
        <f>SUM(B215:Z215)</f>
        <v>27202</v>
      </c>
    </row>
    <row r="216" spans="1:27" x14ac:dyDescent="0.25">
      <c r="A216" s="5" t="s">
        <v>90</v>
      </c>
      <c r="B216" s="5">
        <v>328</v>
      </c>
      <c r="C216" s="5">
        <v>2661</v>
      </c>
      <c r="D216" s="5">
        <v>0</v>
      </c>
      <c r="E216" s="5">
        <v>0</v>
      </c>
      <c r="F216" s="5">
        <v>66</v>
      </c>
      <c r="G216" s="5">
        <v>0</v>
      </c>
      <c r="H216" s="5">
        <v>2233</v>
      </c>
      <c r="I216" s="5">
        <v>0</v>
      </c>
      <c r="J216" s="5">
        <v>0</v>
      </c>
      <c r="K216" s="5">
        <v>25</v>
      </c>
      <c r="L216" s="5">
        <v>34</v>
      </c>
      <c r="M216" s="5">
        <v>0</v>
      </c>
      <c r="N216" s="5">
        <v>6542</v>
      </c>
      <c r="O216" s="5">
        <v>0</v>
      </c>
      <c r="P216" s="5">
        <v>0</v>
      </c>
      <c r="Q216" s="5">
        <v>99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8">
        <f>SUM(B216:Z216)</f>
        <v>11988</v>
      </c>
    </row>
    <row r="217" spans="1:27" x14ac:dyDescent="0.25">
      <c r="A217" s="5" t="s">
        <v>126</v>
      </c>
      <c r="B217" s="5">
        <v>311</v>
      </c>
      <c r="C217" s="5">
        <v>448</v>
      </c>
      <c r="D217" s="5">
        <v>0</v>
      </c>
      <c r="E217" s="5">
        <v>0</v>
      </c>
      <c r="F217" s="5">
        <v>33</v>
      </c>
      <c r="G217" s="5">
        <v>2</v>
      </c>
      <c r="H217" s="5">
        <v>3398</v>
      </c>
      <c r="I217" s="5">
        <v>0</v>
      </c>
      <c r="J217" s="5">
        <v>0</v>
      </c>
      <c r="K217" s="5">
        <v>1</v>
      </c>
      <c r="L217" s="5">
        <v>1</v>
      </c>
      <c r="M217" s="5">
        <v>0</v>
      </c>
      <c r="N217" s="5">
        <v>102</v>
      </c>
      <c r="O217" s="5">
        <v>0</v>
      </c>
      <c r="P217" s="5">
        <v>1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34</v>
      </c>
      <c r="X217" s="5">
        <v>0</v>
      </c>
      <c r="Y217" s="5">
        <v>0</v>
      </c>
      <c r="Z217" s="5">
        <v>0</v>
      </c>
      <c r="AA217" s="8">
        <f>SUM(B217:Z217)</f>
        <v>4331</v>
      </c>
    </row>
    <row r="218" spans="1:27" x14ac:dyDescent="0.25">
      <c r="A218" s="5" t="s">
        <v>210</v>
      </c>
      <c r="B218" s="5">
        <v>293</v>
      </c>
      <c r="C218" s="5">
        <v>480</v>
      </c>
      <c r="D218" s="5">
        <v>0</v>
      </c>
      <c r="E218" s="5">
        <v>0</v>
      </c>
      <c r="F218" s="5">
        <v>0</v>
      </c>
      <c r="G218" s="5">
        <v>20</v>
      </c>
      <c r="H218" s="5">
        <v>4124</v>
      </c>
      <c r="I218" s="5">
        <v>0</v>
      </c>
      <c r="J218" s="5">
        <v>0</v>
      </c>
      <c r="K218" s="5">
        <v>4</v>
      </c>
      <c r="L218" s="5">
        <v>52</v>
      </c>
      <c r="M218" s="5">
        <v>0</v>
      </c>
      <c r="N218" s="5">
        <v>0</v>
      </c>
      <c r="O218" s="5">
        <v>0</v>
      </c>
      <c r="P218" s="5">
        <v>0</v>
      </c>
      <c r="Q218" s="5">
        <v>4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8">
        <f>SUM(B218:Z218)</f>
        <v>4977</v>
      </c>
    </row>
    <row r="219" spans="1:27" x14ac:dyDescent="0.25">
      <c r="A219" s="5" t="s">
        <v>105</v>
      </c>
      <c r="B219" s="5">
        <v>289</v>
      </c>
      <c r="C219" s="5">
        <v>531</v>
      </c>
      <c r="D219" s="5">
        <v>0</v>
      </c>
      <c r="E219" s="5">
        <v>0</v>
      </c>
      <c r="F219" s="5">
        <v>109</v>
      </c>
      <c r="G219" s="5">
        <v>0</v>
      </c>
      <c r="H219" s="5">
        <v>1610</v>
      </c>
      <c r="I219" s="5">
        <v>0</v>
      </c>
      <c r="J219" s="5">
        <v>0</v>
      </c>
      <c r="K219" s="5">
        <v>32</v>
      </c>
      <c r="L219" s="5">
        <v>320</v>
      </c>
      <c r="M219" s="5">
        <v>0</v>
      </c>
      <c r="N219" s="5">
        <v>128</v>
      </c>
      <c r="O219" s="5">
        <v>0</v>
      </c>
      <c r="P219" s="5">
        <v>0</v>
      </c>
      <c r="Q219" s="5">
        <v>54</v>
      </c>
      <c r="R219" s="5">
        <v>0</v>
      </c>
      <c r="S219" s="5">
        <v>0</v>
      </c>
      <c r="T219" s="5">
        <v>0</v>
      </c>
      <c r="U219" s="5">
        <v>2</v>
      </c>
      <c r="V219" s="5">
        <v>0</v>
      </c>
      <c r="W219" s="5">
        <v>8</v>
      </c>
      <c r="X219" s="5">
        <v>0</v>
      </c>
      <c r="Y219" s="5">
        <v>0</v>
      </c>
      <c r="Z219" s="5">
        <v>0</v>
      </c>
      <c r="AA219" s="8">
        <f>SUM(B219:Z219)</f>
        <v>3083</v>
      </c>
    </row>
    <row r="220" spans="1:27" x14ac:dyDescent="0.25">
      <c r="A220" s="5" t="s">
        <v>208</v>
      </c>
      <c r="B220" s="5">
        <v>288</v>
      </c>
      <c r="C220" s="5">
        <v>436</v>
      </c>
      <c r="D220" s="5">
        <v>0</v>
      </c>
      <c r="E220" s="5">
        <v>0</v>
      </c>
      <c r="F220" s="5">
        <v>18</v>
      </c>
      <c r="G220" s="5">
        <v>1</v>
      </c>
      <c r="H220" s="5">
        <v>2940</v>
      </c>
      <c r="I220" s="5">
        <v>0</v>
      </c>
      <c r="J220" s="5">
        <v>0</v>
      </c>
      <c r="K220" s="5">
        <v>9</v>
      </c>
      <c r="L220" s="5">
        <v>361</v>
      </c>
      <c r="M220" s="5">
        <v>1</v>
      </c>
      <c r="N220" s="5">
        <v>0</v>
      </c>
      <c r="O220" s="5">
        <v>0</v>
      </c>
      <c r="P220" s="5">
        <v>1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8">
        <f>SUM(B220:Z220)</f>
        <v>4055</v>
      </c>
    </row>
    <row r="221" spans="1:27" x14ac:dyDescent="0.25">
      <c r="A221" s="5" t="s">
        <v>200</v>
      </c>
      <c r="B221" s="5">
        <v>286</v>
      </c>
      <c r="C221" s="5">
        <v>442</v>
      </c>
      <c r="D221" s="5">
        <v>0</v>
      </c>
      <c r="E221" s="5">
        <v>0</v>
      </c>
      <c r="F221" s="5">
        <v>0</v>
      </c>
      <c r="G221" s="5">
        <v>0</v>
      </c>
      <c r="H221" s="5">
        <v>3232</v>
      </c>
      <c r="I221" s="5">
        <v>0</v>
      </c>
      <c r="J221" s="5">
        <v>0</v>
      </c>
      <c r="K221" s="5">
        <v>9</v>
      </c>
      <c r="L221" s="5">
        <v>23</v>
      </c>
      <c r="M221" s="5">
        <v>0</v>
      </c>
      <c r="N221" s="5">
        <v>359</v>
      </c>
      <c r="O221" s="5">
        <v>0</v>
      </c>
      <c r="P221" s="5">
        <v>0</v>
      </c>
      <c r="Q221" s="5">
        <v>18</v>
      </c>
      <c r="R221" s="5">
        <v>0</v>
      </c>
      <c r="S221" s="5">
        <v>0</v>
      </c>
      <c r="T221" s="5">
        <v>0</v>
      </c>
      <c r="U221" s="5">
        <v>15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8">
        <f>SUM(B221:Z221)</f>
        <v>4384</v>
      </c>
    </row>
    <row r="222" spans="1:27" x14ac:dyDescent="0.25">
      <c r="A222" s="5" t="s">
        <v>141</v>
      </c>
      <c r="B222" s="5">
        <v>285</v>
      </c>
      <c r="C222" s="5">
        <v>19147</v>
      </c>
      <c r="D222" s="5">
        <v>0</v>
      </c>
      <c r="E222" s="5">
        <v>0</v>
      </c>
      <c r="F222" s="5">
        <v>321</v>
      </c>
      <c r="G222" s="5">
        <v>0</v>
      </c>
      <c r="H222" s="5">
        <v>2110</v>
      </c>
      <c r="I222" s="5">
        <v>0</v>
      </c>
      <c r="J222" s="5">
        <v>0</v>
      </c>
      <c r="K222" s="5">
        <v>0</v>
      </c>
      <c r="L222" s="5">
        <v>10</v>
      </c>
      <c r="M222" s="5">
        <v>0</v>
      </c>
      <c r="N222" s="5">
        <v>12003</v>
      </c>
      <c r="O222" s="5">
        <v>4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6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8">
        <f>SUM(B222:Z222)</f>
        <v>33886</v>
      </c>
    </row>
    <row r="223" spans="1:27" x14ac:dyDescent="0.25">
      <c r="A223" s="5" t="s">
        <v>121</v>
      </c>
      <c r="B223" s="5">
        <v>282</v>
      </c>
      <c r="C223" s="5">
        <v>611</v>
      </c>
      <c r="D223" s="5">
        <v>0</v>
      </c>
      <c r="E223" s="5">
        <v>0</v>
      </c>
      <c r="F223" s="5">
        <v>9</v>
      </c>
      <c r="G223" s="5">
        <v>0</v>
      </c>
      <c r="H223" s="5">
        <v>2089</v>
      </c>
      <c r="I223" s="5">
        <v>37</v>
      </c>
      <c r="J223" s="5">
        <v>0</v>
      </c>
      <c r="K223" s="5">
        <v>3</v>
      </c>
      <c r="L223" s="5">
        <v>157</v>
      </c>
      <c r="M223" s="5">
        <v>0</v>
      </c>
      <c r="N223" s="5">
        <v>133</v>
      </c>
      <c r="O223" s="5">
        <v>1</v>
      </c>
      <c r="P223" s="5">
        <v>1</v>
      </c>
      <c r="Q223" s="5">
        <v>7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8">
        <f>SUM(B223:Z223)</f>
        <v>3330</v>
      </c>
    </row>
    <row r="224" spans="1:27" x14ac:dyDescent="0.25">
      <c r="A224" s="5" t="s">
        <v>184</v>
      </c>
      <c r="B224" s="5">
        <v>277</v>
      </c>
      <c r="C224" s="5">
        <v>1524</v>
      </c>
      <c r="D224" s="5">
        <v>0</v>
      </c>
      <c r="E224" s="5">
        <v>0</v>
      </c>
      <c r="F224" s="5">
        <v>0</v>
      </c>
      <c r="G224" s="5">
        <v>1</v>
      </c>
      <c r="H224" s="5">
        <v>5234</v>
      </c>
      <c r="I224" s="5">
        <v>2</v>
      </c>
      <c r="J224" s="5">
        <v>52</v>
      </c>
      <c r="K224" s="5">
        <v>6</v>
      </c>
      <c r="L224" s="5">
        <v>12</v>
      </c>
      <c r="M224" s="5">
        <v>0</v>
      </c>
      <c r="N224" s="5">
        <v>1485</v>
      </c>
      <c r="O224" s="5">
        <v>1</v>
      </c>
      <c r="P224" s="5">
        <v>46</v>
      </c>
      <c r="Q224" s="5">
        <v>37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2</v>
      </c>
      <c r="X224" s="5">
        <v>0</v>
      </c>
      <c r="Y224" s="5">
        <v>0</v>
      </c>
      <c r="Z224" s="5">
        <v>0</v>
      </c>
      <c r="AA224" s="8">
        <f>SUM(B224:Z224)</f>
        <v>8679</v>
      </c>
    </row>
    <row r="225" spans="1:27" x14ac:dyDescent="0.25">
      <c r="A225" s="5" t="s">
        <v>285</v>
      </c>
      <c r="B225" s="5">
        <v>274</v>
      </c>
      <c r="C225" s="5">
        <v>518</v>
      </c>
      <c r="D225" s="5">
        <v>926</v>
      </c>
      <c r="E225" s="5">
        <v>12</v>
      </c>
      <c r="F225" s="5">
        <v>40</v>
      </c>
      <c r="G225" s="5">
        <v>0</v>
      </c>
      <c r="H225" s="5">
        <v>2472</v>
      </c>
      <c r="I225" s="5">
        <v>0</v>
      </c>
      <c r="J225" s="5">
        <v>0</v>
      </c>
      <c r="K225" s="5">
        <v>12</v>
      </c>
      <c r="L225" s="5">
        <v>30</v>
      </c>
      <c r="M225" s="5">
        <v>0</v>
      </c>
      <c r="N225" s="5">
        <v>374</v>
      </c>
      <c r="O225" s="5">
        <v>0</v>
      </c>
      <c r="P225" s="5">
        <v>7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8">
        <f>SUM(B225:Z225)</f>
        <v>4665</v>
      </c>
    </row>
    <row r="226" spans="1:27" x14ac:dyDescent="0.25">
      <c r="A226" s="5" t="s">
        <v>181</v>
      </c>
      <c r="B226" s="5">
        <v>274</v>
      </c>
      <c r="C226" s="5">
        <v>927</v>
      </c>
      <c r="D226" s="5">
        <v>0</v>
      </c>
      <c r="E226" s="5">
        <v>0</v>
      </c>
      <c r="F226" s="5">
        <v>0</v>
      </c>
      <c r="G226" s="5">
        <v>0</v>
      </c>
      <c r="H226" s="5">
        <v>2155</v>
      </c>
      <c r="I226" s="5">
        <v>0</v>
      </c>
      <c r="J226" s="5">
        <v>3</v>
      </c>
      <c r="K226" s="5">
        <v>5</v>
      </c>
      <c r="L226" s="5">
        <v>22</v>
      </c>
      <c r="M226" s="5">
        <v>0</v>
      </c>
      <c r="N226" s="5">
        <v>0</v>
      </c>
      <c r="O226" s="5">
        <v>0</v>
      </c>
      <c r="P226" s="5">
        <v>25</v>
      </c>
      <c r="Q226" s="5">
        <v>13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8">
        <f>SUM(B226:Z226)</f>
        <v>3424</v>
      </c>
    </row>
    <row r="227" spans="1:27" x14ac:dyDescent="0.25">
      <c r="A227" s="5" t="s">
        <v>153</v>
      </c>
      <c r="B227" s="5">
        <v>267</v>
      </c>
      <c r="C227" s="5">
        <v>197</v>
      </c>
      <c r="D227" s="5">
        <v>0</v>
      </c>
      <c r="E227" s="5">
        <v>0</v>
      </c>
      <c r="F227" s="5">
        <v>0</v>
      </c>
      <c r="G227" s="5">
        <v>7</v>
      </c>
      <c r="H227" s="5">
        <v>1971</v>
      </c>
      <c r="I227" s="5">
        <v>0</v>
      </c>
      <c r="J227" s="5">
        <v>0</v>
      </c>
      <c r="K227" s="5">
        <v>3</v>
      </c>
      <c r="L227" s="5">
        <v>7</v>
      </c>
      <c r="M227" s="5">
        <v>2</v>
      </c>
      <c r="N227" s="5">
        <v>110</v>
      </c>
      <c r="O227" s="5">
        <v>10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16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8">
        <f>SUM(B227:Z227)</f>
        <v>2590</v>
      </c>
    </row>
    <row r="228" spans="1:27" x14ac:dyDescent="0.25">
      <c r="A228" s="5" t="s">
        <v>43</v>
      </c>
      <c r="B228" s="5">
        <v>264</v>
      </c>
      <c r="C228" s="5">
        <v>1270</v>
      </c>
      <c r="D228" s="5">
        <v>0</v>
      </c>
      <c r="E228" s="5">
        <v>74</v>
      </c>
      <c r="F228" s="5">
        <v>21</v>
      </c>
      <c r="G228" s="5">
        <v>6</v>
      </c>
      <c r="H228" s="5">
        <v>9358</v>
      </c>
      <c r="I228" s="5">
        <v>0</v>
      </c>
      <c r="J228" s="5">
        <v>0</v>
      </c>
      <c r="K228" s="5">
        <v>9</v>
      </c>
      <c r="L228" s="5">
        <v>41</v>
      </c>
      <c r="M228" s="5">
        <v>0</v>
      </c>
      <c r="N228" s="5">
        <v>130</v>
      </c>
      <c r="O228" s="5">
        <v>0</v>
      </c>
      <c r="P228" s="5">
        <v>2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2</v>
      </c>
      <c r="AA228" s="8">
        <f>SUM(B228:Z228)</f>
        <v>11177</v>
      </c>
    </row>
    <row r="229" spans="1:27" x14ac:dyDescent="0.25">
      <c r="A229" s="5" t="s">
        <v>135</v>
      </c>
      <c r="B229" s="5">
        <v>256</v>
      </c>
      <c r="C229" s="5">
        <v>2974</v>
      </c>
      <c r="D229" s="5">
        <v>0</v>
      </c>
      <c r="E229" s="5">
        <v>0</v>
      </c>
      <c r="F229" s="5">
        <v>0</v>
      </c>
      <c r="G229" s="5">
        <v>0</v>
      </c>
      <c r="H229" s="5">
        <v>3643</v>
      </c>
      <c r="I229" s="5">
        <v>0</v>
      </c>
      <c r="J229" s="5">
        <v>0</v>
      </c>
      <c r="K229" s="5">
        <v>13</v>
      </c>
      <c r="L229" s="5">
        <v>19</v>
      </c>
      <c r="M229" s="5">
        <v>0</v>
      </c>
      <c r="N229" s="5">
        <v>4065</v>
      </c>
      <c r="O229" s="5">
        <v>0</v>
      </c>
      <c r="P229" s="5">
        <v>0</v>
      </c>
      <c r="Q229" s="5">
        <v>16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1</v>
      </c>
      <c r="X229" s="5">
        <v>0</v>
      </c>
      <c r="Y229" s="5">
        <v>0</v>
      </c>
      <c r="Z229" s="5">
        <v>0</v>
      </c>
      <c r="AA229" s="8">
        <f>SUM(B229:Z229)</f>
        <v>10987</v>
      </c>
    </row>
    <row r="230" spans="1:27" x14ac:dyDescent="0.25">
      <c r="A230" s="5" t="s">
        <v>15</v>
      </c>
      <c r="B230" s="5">
        <v>251</v>
      </c>
      <c r="C230" s="5">
        <v>510</v>
      </c>
      <c r="D230" s="5">
        <v>0</v>
      </c>
      <c r="E230" s="5">
        <v>0</v>
      </c>
      <c r="F230" s="5">
        <v>23</v>
      </c>
      <c r="G230" s="5">
        <v>0</v>
      </c>
      <c r="H230" s="5">
        <v>2531</v>
      </c>
      <c r="I230" s="5">
        <v>0</v>
      </c>
      <c r="J230" s="5">
        <v>0</v>
      </c>
      <c r="K230" s="5">
        <v>8</v>
      </c>
      <c r="L230" s="5">
        <v>38</v>
      </c>
      <c r="M230" s="5">
        <v>0</v>
      </c>
      <c r="N230" s="5">
        <v>55</v>
      </c>
      <c r="O230" s="5">
        <v>4</v>
      </c>
      <c r="P230" s="5">
        <v>55</v>
      </c>
      <c r="Q230" s="5">
        <v>4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8</v>
      </c>
      <c r="X230" s="5">
        <v>0</v>
      </c>
      <c r="Y230" s="5">
        <v>0</v>
      </c>
      <c r="Z230" s="5">
        <v>0</v>
      </c>
      <c r="AA230" s="8">
        <f>SUM(B230:Z230)</f>
        <v>3487</v>
      </c>
    </row>
    <row r="231" spans="1:27" x14ac:dyDescent="0.25">
      <c r="A231" s="5" t="s">
        <v>118</v>
      </c>
      <c r="B231" s="5">
        <v>246</v>
      </c>
      <c r="C231" s="5">
        <v>4976</v>
      </c>
      <c r="D231" s="5">
        <v>0</v>
      </c>
      <c r="E231" s="5">
        <v>54</v>
      </c>
      <c r="F231" s="5">
        <v>26</v>
      </c>
      <c r="G231" s="5">
        <v>0</v>
      </c>
      <c r="H231" s="5">
        <v>1776</v>
      </c>
      <c r="I231" s="5">
        <v>0</v>
      </c>
      <c r="J231" s="5">
        <v>0</v>
      </c>
      <c r="K231" s="5">
        <v>1</v>
      </c>
      <c r="L231" s="5">
        <v>12</v>
      </c>
      <c r="M231" s="5">
        <v>0</v>
      </c>
      <c r="N231" s="5">
        <v>14619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8">
        <f>SUM(B231:Z231)</f>
        <v>21710</v>
      </c>
    </row>
    <row r="232" spans="1:27" x14ac:dyDescent="0.25">
      <c r="A232" s="5" t="s">
        <v>243</v>
      </c>
      <c r="B232" s="5">
        <v>239</v>
      </c>
      <c r="C232" s="5">
        <v>1431</v>
      </c>
      <c r="D232" s="5">
        <v>0</v>
      </c>
      <c r="E232" s="5">
        <v>0</v>
      </c>
      <c r="F232" s="5">
        <v>20</v>
      </c>
      <c r="G232" s="5">
        <v>9</v>
      </c>
      <c r="H232" s="5">
        <v>2554</v>
      </c>
      <c r="I232" s="5">
        <v>0</v>
      </c>
      <c r="J232" s="5">
        <v>0</v>
      </c>
      <c r="K232" s="5">
        <v>9</v>
      </c>
      <c r="L232" s="5">
        <v>65</v>
      </c>
      <c r="M232" s="5">
        <v>0</v>
      </c>
      <c r="N232" s="5">
        <v>221</v>
      </c>
      <c r="O232" s="5">
        <v>0</v>
      </c>
      <c r="P232" s="5">
        <v>1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1</v>
      </c>
      <c r="X232" s="5">
        <v>0</v>
      </c>
      <c r="Y232" s="5">
        <v>0</v>
      </c>
      <c r="Z232" s="5">
        <v>0</v>
      </c>
      <c r="AA232" s="8">
        <f>SUM(B232:Z232)</f>
        <v>4550</v>
      </c>
    </row>
    <row r="233" spans="1:27" x14ac:dyDescent="0.25">
      <c r="A233" s="5" t="s">
        <v>98</v>
      </c>
      <c r="B233" s="5">
        <v>236</v>
      </c>
      <c r="C233" s="5">
        <v>3512</v>
      </c>
      <c r="D233" s="5">
        <v>31</v>
      </c>
      <c r="E233" s="5">
        <v>0</v>
      </c>
      <c r="F233" s="5">
        <v>0</v>
      </c>
      <c r="G233" s="5">
        <v>0</v>
      </c>
      <c r="H233" s="5">
        <v>2442</v>
      </c>
      <c r="I233" s="5">
        <v>0</v>
      </c>
      <c r="J233" s="5">
        <v>0</v>
      </c>
      <c r="K233" s="5">
        <v>9</v>
      </c>
      <c r="L233" s="5">
        <v>32</v>
      </c>
      <c r="M233" s="5">
        <v>0</v>
      </c>
      <c r="N233" s="5">
        <v>1586</v>
      </c>
      <c r="O233" s="5">
        <v>0</v>
      </c>
      <c r="P233" s="5">
        <v>0</v>
      </c>
      <c r="Q233" s="5">
        <v>23</v>
      </c>
      <c r="R233" s="5">
        <v>0</v>
      </c>
      <c r="S233" s="5">
        <v>0</v>
      </c>
      <c r="T233" s="5">
        <v>0</v>
      </c>
      <c r="U233" s="5">
        <v>4</v>
      </c>
      <c r="V233" s="5">
        <v>0</v>
      </c>
      <c r="W233" s="5">
        <v>13</v>
      </c>
      <c r="X233" s="5">
        <v>0</v>
      </c>
      <c r="Y233" s="5">
        <v>0</v>
      </c>
      <c r="Z233" s="5">
        <v>0</v>
      </c>
      <c r="AA233" s="8">
        <f>SUM(B233:Z233)</f>
        <v>7888</v>
      </c>
    </row>
    <row r="234" spans="1:27" x14ac:dyDescent="0.25">
      <c r="A234" s="5" t="s">
        <v>187</v>
      </c>
      <c r="B234" s="5">
        <v>225</v>
      </c>
      <c r="C234" s="5">
        <v>3344</v>
      </c>
      <c r="D234" s="5">
        <v>0</v>
      </c>
      <c r="E234" s="5">
        <v>0</v>
      </c>
      <c r="F234" s="5">
        <v>2</v>
      </c>
      <c r="G234" s="5">
        <v>33</v>
      </c>
      <c r="H234" s="5">
        <v>6607</v>
      </c>
      <c r="I234" s="5">
        <v>0</v>
      </c>
      <c r="J234" s="5">
        <v>0</v>
      </c>
      <c r="K234" s="5">
        <v>0</v>
      </c>
      <c r="L234" s="5">
        <v>40</v>
      </c>
      <c r="M234" s="5">
        <v>0</v>
      </c>
      <c r="N234" s="5">
        <v>4678</v>
      </c>
      <c r="O234" s="5">
        <v>0</v>
      </c>
      <c r="P234" s="5">
        <v>73</v>
      </c>
      <c r="Q234" s="5">
        <v>1</v>
      </c>
      <c r="R234" s="5">
        <v>0</v>
      </c>
      <c r="S234" s="5">
        <v>0</v>
      </c>
      <c r="T234" s="5">
        <v>0</v>
      </c>
      <c r="U234" s="5">
        <v>1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8">
        <f>SUM(B234:Z234)</f>
        <v>15004</v>
      </c>
    </row>
    <row r="235" spans="1:27" x14ac:dyDescent="0.25">
      <c r="A235" s="5" t="s">
        <v>196</v>
      </c>
      <c r="B235" s="5">
        <v>224</v>
      </c>
      <c r="C235" s="5">
        <v>469</v>
      </c>
      <c r="D235" s="5">
        <v>0</v>
      </c>
      <c r="E235" s="5">
        <v>0</v>
      </c>
      <c r="F235" s="5">
        <v>0</v>
      </c>
      <c r="G235" s="5">
        <v>6</v>
      </c>
      <c r="H235" s="5">
        <v>2359</v>
      </c>
      <c r="I235" s="5">
        <v>0</v>
      </c>
      <c r="J235" s="5">
        <v>1</v>
      </c>
      <c r="K235" s="5">
        <v>43</v>
      </c>
      <c r="L235" s="5">
        <v>50</v>
      </c>
      <c r="M235" s="5">
        <v>0</v>
      </c>
      <c r="N235" s="5">
        <v>523</v>
      </c>
      <c r="O235" s="5">
        <v>0</v>
      </c>
      <c r="P235" s="5">
        <v>0</v>
      </c>
      <c r="Q235" s="5">
        <v>49</v>
      </c>
      <c r="R235" s="5">
        <v>0</v>
      </c>
      <c r="S235" s="5">
        <v>0</v>
      </c>
      <c r="T235" s="5">
        <v>0</v>
      </c>
      <c r="U235" s="5">
        <v>4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8">
        <f>SUM(B235:Z235)</f>
        <v>3728</v>
      </c>
    </row>
    <row r="236" spans="1:27" x14ac:dyDescent="0.25">
      <c r="A236" s="5" t="s">
        <v>169</v>
      </c>
      <c r="B236" s="5">
        <v>224</v>
      </c>
      <c r="C236" s="5">
        <v>95</v>
      </c>
      <c r="D236" s="5">
        <v>0</v>
      </c>
      <c r="E236" s="5">
        <v>0</v>
      </c>
      <c r="F236" s="5">
        <v>0</v>
      </c>
      <c r="G236" s="5">
        <v>14</v>
      </c>
      <c r="H236" s="5">
        <v>1730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107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8">
        <f>SUM(B236:Z236)</f>
        <v>2170</v>
      </c>
    </row>
    <row r="237" spans="1:27" x14ac:dyDescent="0.25">
      <c r="A237" s="5" t="s">
        <v>115</v>
      </c>
      <c r="B237" s="5">
        <v>223</v>
      </c>
      <c r="C237" s="5">
        <v>2805</v>
      </c>
      <c r="D237" s="5">
        <v>0</v>
      </c>
      <c r="E237" s="5">
        <v>0</v>
      </c>
      <c r="F237" s="5">
        <v>3</v>
      </c>
      <c r="G237" s="5">
        <v>3</v>
      </c>
      <c r="H237" s="5">
        <v>5471</v>
      </c>
      <c r="I237" s="5">
        <v>0</v>
      </c>
      <c r="J237" s="5">
        <v>0</v>
      </c>
      <c r="K237" s="5">
        <v>3</v>
      </c>
      <c r="L237" s="5">
        <v>11</v>
      </c>
      <c r="M237" s="5">
        <v>0</v>
      </c>
      <c r="N237" s="5">
        <v>9270</v>
      </c>
      <c r="O237" s="5">
        <v>0</v>
      </c>
      <c r="P237" s="5">
        <v>16</v>
      </c>
      <c r="Q237" s="5">
        <v>22</v>
      </c>
      <c r="R237" s="5">
        <v>0</v>
      </c>
      <c r="S237" s="5">
        <v>0</v>
      </c>
      <c r="T237" s="5">
        <v>1</v>
      </c>
      <c r="U237" s="5">
        <v>1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8">
        <f>SUM(B237:Z237)</f>
        <v>17829</v>
      </c>
    </row>
    <row r="238" spans="1:27" x14ac:dyDescent="0.25">
      <c r="A238" s="5" t="s">
        <v>89</v>
      </c>
      <c r="B238" s="5">
        <v>223</v>
      </c>
      <c r="C238" s="5">
        <v>2224</v>
      </c>
      <c r="D238" s="5">
        <v>0</v>
      </c>
      <c r="E238" s="5">
        <v>0</v>
      </c>
      <c r="F238" s="5">
        <v>54</v>
      </c>
      <c r="G238" s="5">
        <v>0</v>
      </c>
      <c r="H238" s="5">
        <v>2223</v>
      </c>
      <c r="I238" s="5">
        <v>0</v>
      </c>
      <c r="J238" s="5">
        <v>0</v>
      </c>
      <c r="K238" s="5">
        <v>28</v>
      </c>
      <c r="L238" s="5">
        <v>108</v>
      </c>
      <c r="M238" s="5">
        <v>0</v>
      </c>
      <c r="N238" s="5">
        <v>3124</v>
      </c>
      <c r="O238" s="5">
        <v>1</v>
      </c>
      <c r="P238" s="5">
        <v>0</v>
      </c>
      <c r="Q238" s="5">
        <v>23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1</v>
      </c>
      <c r="X238" s="5">
        <v>0</v>
      </c>
      <c r="Y238" s="5">
        <v>0</v>
      </c>
      <c r="Z238" s="5">
        <v>0</v>
      </c>
      <c r="AA238" s="8">
        <f>SUM(B238:Z238)</f>
        <v>8009</v>
      </c>
    </row>
    <row r="239" spans="1:27" x14ac:dyDescent="0.25">
      <c r="A239" s="5" t="s">
        <v>232</v>
      </c>
      <c r="B239" s="5">
        <v>222</v>
      </c>
      <c r="C239" s="5">
        <v>3293</v>
      </c>
      <c r="D239" s="5">
        <v>0</v>
      </c>
      <c r="E239" s="5">
        <v>0</v>
      </c>
      <c r="F239" s="5">
        <v>39</v>
      </c>
      <c r="G239" s="5">
        <v>0</v>
      </c>
      <c r="H239" s="5">
        <v>1635</v>
      </c>
      <c r="I239" s="5">
        <v>0</v>
      </c>
      <c r="J239" s="5">
        <v>0</v>
      </c>
      <c r="K239" s="5">
        <v>4</v>
      </c>
      <c r="L239" s="5">
        <v>126</v>
      </c>
      <c r="M239" s="5">
        <v>0</v>
      </c>
      <c r="N239" s="5">
        <v>1296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10</v>
      </c>
      <c r="V239" s="5">
        <v>0</v>
      </c>
      <c r="W239" s="5">
        <v>2</v>
      </c>
      <c r="X239" s="5">
        <v>0</v>
      </c>
      <c r="Y239" s="5">
        <v>0</v>
      </c>
      <c r="Z239" s="5">
        <v>0</v>
      </c>
      <c r="AA239" s="8">
        <f>SUM(B239:Z239)</f>
        <v>6627</v>
      </c>
    </row>
    <row r="240" spans="1:27" x14ac:dyDescent="0.25">
      <c r="A240" s="5" t="s">
        <v>199</v>
      </c>
      <c r="B240" s="5">
        <v>221</v>
      </c>
      <c r="C240" s="5">
        <v>2702</v>
      </c>
      <c r="D240" s="5">
        <v>0</v>
      </c>
      <c r="E240" s="5">
        <v>0</v>
      </c>
      <c r="F240" s="5">
        <v>0</v>
      </c>
      <c r="G240" s="5">
        <v>0</v>
      </c>
      <c r="H240" s="5">
        <v>2185</v>
      </c>
      <c r="I240" s="5">
        <v>0</v>
      </c>
      <c r="J240" s="5">
        <v>0</v>
      </c>
      <c r="K240" s="5">
        <v>24</v>
      </c>
      <c r="L240" s="5">
        <v>176</v>
      </c>
      <c r="M240" s="5">
        <v>0</v>
      </c>
      <c r="N240" s="5">
        <v>42</v>
      </c>
      <c r="O240" s="5">
        <v>0</v>
      </c>
      <c r="P240" s="5">
        <v>290</v>
      </c>
      <c r="Q240" s="5">
        <v>91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1</v>
      </c>
      <c r="X240" s="5">
        <v>0</v>
      </c>
      <c r="Y240" s="5">
        <v>0</v>
      </c>
      <c r="Z240" s="5">
        <v>1</v>
      </c>
      <c r="AA240" s="8">
        <f>SUM(B240:Z240)</f>
        <v>5733</v>
      </c>
    </row>
    <row r="241" spans="1:27" x14ac:dyDescent="0.25">
      <c r="A241" s="5" t="s">
        <v>301</v>
      </c>
      <c r="B241" s="5">
        <v>215</v>
      </c>
      <c r="C241" s="5">
        <v>255</v>
      </c>
      <c r="D241" s="5">
        <v>0</v>
      </c>
      <c r="E241" s="5">
        <v>0</v>
      </c>
      <c r="F241" s="5">
        <v>95</v>
      </c>
      <c r="G241" s="5">
        <v>0</v>
      </c>
      <c r="H241" s="5">
        <v>121</v>
      </c>
      <c r="I241" s="5">
        <v>0</v>
      </c>
      <c r="J241" s="5">
        <v>0</v>
      </c>
      <c r="K241" s="5">
        <v>5</v>
      </c>
      <c r="L241" s="5">
        <v>31</v>
      </c>
      <c r="M241" s="5">
        <v>0</v>
      </c>
      <c r="N241" s="5">
        <v>18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7</v>
      </c>
      <c r="V241" s="5">
        <v>0</v>
      </c>
      <c r="W241" s="5">
        <v>94</v>
      </c>
      <c r="X241" s="5">
        <v>0</v>
      </c>
      <c r="Y241" s="5">
        <v>0</v>
      </c>
      <c r="Z241" s="5">
        <v>0</v>
      </c>
      <c r="AA241" s="8">
        <f>SUM(B241:Z241)</f>
        <v>841</v>
      </c>
    </row>
    <row r="242" spans="1:27" x14ac:dyDescent="0.25">
      <c r="A242" s="5" t="s">
        <v>69</v>
      </c>
      <c r="B242" s="5">
        <v>212</v>
      </c>
      <c r="C242" s="5">
        <v>2938</v>
      </c>
      <c r="D242" s="5">
        <v>0</v>
      </c>
      <c r="E242" s="5">
        <v>0</v>
      </c>
      <c r="F242" s="5">
        <v>4</v>
      </c>
      <c r="G242" s="5">
        <v>0</v>
      </c>
      <c r="H242" s="5">
        <v>2041</v>
      </c>
      <c r="I242" s="5">
        <v>0</v>
      </c>
      <c r="J242" s="5">
        <v>0</v>
      </c>
      <c r="K242" s="5">
        <v>12</v>
      </c>
      <c r="L242" s="5">
        <v>68</v>
      </c>
      <c r="M242" s="5">
        <v>0</v>
      </c>
      <c r="N242" s="5">
        <v>5637</v>
      </c>
      <c r="O242" s="5">
        <v>0</v>
      </c>
      <c r="P242" s="5">
        <v>0</v>
      </c>
      <c r="Q242" s="5">
        <v>49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8">
        <f>SUM(B242:Z242)</f>
        <v>10961</v>
      </c>
    </row>
    <row r="243" spans="1:27" x14ac:dyDescent="0.25">
      <c r="A243" s="5" t="s">
        <v>215</v>
      </c>
      <c r="B243" s="5">
        <v>207</v>
      </c>
      <c r="C243" s="5">
        <v>692</v>
      </c>
      <c r="D243" s="5">
        <v>135</v>
      </c>
      <c r="E243" s="5">
        <v>0</v>
      </c>
      <c r="F243" s="5">
        <v>0</v>
      </c>
      <c r="G243" s="5">
        <v>20</v>
      </c>
      <c r="H243" s="5">
        <v>1853</v>
      </c>
      <c r="I243" s="5">
        <v>0</v>
      </c>
      <c r="J243" s="5">
        <v>0</v>
      </c>
      <c r="K243" s="5">
        <v>1</v>
      </c>
      <c r="L243" s="5">
        <v>37</v>
      </c>
      <c r="M243" s="5">
        <v>0</v>
      </c>
      <c r="N243" s="5">
        <v>0</v>
      </c>
      <c r="O243" s="5">
        <v>0</v>
      </c>
      <c r="P243" s="5">
        <v>0</v>
      </c>
      <c r="Q243" s="5">
        <v>25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12</v>
      </c>
      <c r="X243" s="5">
        <v>0</v>
      </c>
      <c r="Y243" s="5">
        <v>0</v>
      </c>
      <c r="Z243" s="5">
        <v>0</v>
      </c>
      <c r="AA243" s="8">
        <f>SUM(B243:Z243)</f>
        <v>2982</v>
      </c>
    </row>
    <row r="244" spans="1:27" x14ac:dyDescent="0.25">
      <c r="A244" s="5" t="s">
        <v>162</v>
      </c>
      <c r="B244" s="5">
        <v>206</v>
      </c>
      <c r="C244" s="5">
        <v>444</v>
      </c>
      <c r="D244" s="5">
        <v>0</v>
      </c>
      <c r="E244" s="5">
        <v>0</v>
      </c>
      <c r="F244" s="5">
        <v>0</v>
      </c>
      <c r="G244" s="5">
        <v>0</v>
      </c>
      <c r="H244" s="5">
        <v>3025</v>
      </c>
      <c r="I244" s="5">
        <v>0</v>
      </c>
      <c r="J244" s="5">
        <v>0</v>
      </c>
      <c r="K244" s="5">
        <v>27</v>
      </c>
      <c r="L244" s="5">
        <v>152</v>
      </c>
      <c r="M244" s="5">
        <v>0</v>
      </c>
      <c r="N244" s="5">
        <v>0</v>
      </c>
      <c r="O244" s="5">
        <v>1</v>
      </c>
      <c r="P244" s="5">
        <v>19</v>
      </c>
      <c r="Q244" s="5">
        <v>7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8">
        <f>SUM(B244:Z244)</f>
        <v>3881</v>
      </c>
    </row>
    <row r="245" spans="1:27" x14ac:dyDescent="0.25">
      <c r="A245" s="5" t="s">
        <v>195</v>
      </c>
      <c r="B245" s="5">
        <v>204</v>
      </c>
      <c r="C245" s="5">
        <v>1463</v>
      </c>
      <c r="D245" s="5">
        <v>0</v>
      </c>
      <c r="E245" s="5">
        <v>44</v>
      </c>
      <c r="F245" s="5">
        <v>0</v>
      </c>
      <c r="G245" s="5">
        <v>0</v>
      </c>
      <c r="H245" s="5">
        <v>3063</v>
      </c>
      <c r="I245" s="5">
        <v>0</v>
      </c>
      <c r="J245" s="5">
        <v>0</v>
      </c>
      <c r="K245" s="5">
        <v>20</v>
      </c>
      <c r="L245" s="5">
        <v>54</v>
      </c>
      <c r="M245" s="5">
        <v>0</v>
      </c>
      <c r="N245" s="5">
        <v>510</v>
      </c>
      <c r="O245" s="5">
        <v>20</v>
      </c>
      <c r="P245" s="5">
        <v>216</v>
      </c>
      <c r="Q245" s="5">
        <v>1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8">
        <f>SUM(B245:Z245)</f>
        <v>5595</v>
      </c>
    </row>
    <row r="246" spans="1:27" x14ac:dyDescent="0.25">
      <c r="A246" s="5" t="s">
        <v>212</v>
      </c>
      <c r="B246" s="5">
        <v>181</v>
      </c>
      <c r="C246" s="5">
        <v>11421</v>
      </c>
      <c r="D246" s="5">
        <v>0</v>
      </c>
      <c r="E246" s="5">
        <v>4</v>
      </c>
      <c r="F246" s="5">
        <v>18</v>
      </c>
      <c r="G246" s="5">
        <v>4</v>
      </c>
      <c r="H246" s="5">
        <v>2404</v>
      </c>
      <c r="I246" s="5">
        <v>0</v>
      </c>
      <c r="J246" s="5">
        <v>0</v>
      </c>
      <c r="K246" s="5">
        <v>20</v>
      </c>
      <c r="L246" s="5">
        <v>41</v>
      </c>
      <c r="M246" s="5">
        <v>0</v>
      </c>
      <c r="N246" s="5">
        <v>5747</v>
      </c>
      <c r="O246" s="5">
        <v>0</v>
      </c>
      <c r="P246" s="5">
        <v>2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8">
        <f>SUM(B246:Z246)</f>
        <v>19842</v>
      </c>
    </row>
    <row r="247" spans="1:27" x14ac:dyDescent="0.25">
      <c r="A247" s="5" t="s">
        <v>63</v>
      </c>
      <c r="B247" s="5">
        <v>181</v>
      </c>
      <c r="C247" s="5">
        <v>1864</v>
      </c>
      <c r="D247" s="5">
        <v>0</v>
      </c>
      <c r="E247" s="5">
        <v>0</v>
      </c>
      <c r="F247" s="5">
        <v>24</v>
      </c>
      <c r="G247" s="5">
        <v>4</v>
      </c>
      <c r="H247" s="5">
        <v>5144</v>
      </c>
      <c r="I247" s="5">
        <v>0</v>
      </c>
      <c r="J247" s="5">
        <v>0</v>
      </c>
      <c r="K247" s="5">
        <v>7</v>
      </c>
      <c r="L247" s="5">
        <v>105</v>
      </c>
      <c r="M247" s="5">
        <v>0</v>
      </c>
      <c r="N247" s="5">
        <v>125</v>
      </c>
      <c r="O247" s="5">
        <v>0</v>
      </c>
      <c r="P247" s="5">
        <v>0</v>
      </c>
      <c r="Q247" s="5">
        <v>12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8">
        <f>SUM(B247:Z247)</f>
        <v>7466</v>
      </c>
    </row>
    <row r="248" spans="1:27" x14ac:dyDescent="0.25">
      <c r="A248" s="5" t="s">
        <v>188</v>
      </c>
      <c r="B248" s="5">
        <v>176</v>
      </c>
      <c r="C248" s="5">
        <v>1742</v>
      </c>
      <c r="D248" s="5">
        <v>0</v>
      </c>
      <c r="E248" s="5">
        <v>0</v>
      </c>
      <c r="F248" s="5">
        <v>0</v>
      </c>
      <c r="G248" s="5">
        <v>3</v>
      </c>
      <c r="H248" s="5">
        <v>5917</v>
      </c>
      <c r="I248" s="5">
        <v>0</v>
      </c>
      <c r="J248" s="5">
        <v>0</v>
      </c>
      <c r="K248" s="5">
        <v>0</v>
      </c>
      <c r="L248" s="5">
        <v>1</v>
      </c>
      <c r="M248" s="5">
        <v>0</v>
      </c>
      <c r="N248" s="5">
        <v>769</v>
      </c>
      <c r="O248" s="5">
        <v>0</v>
      </c>
      <c r="P248" s="5">
        <v>13</v>
      </c>
      <c r="Q248" s="5">
        <v>37</v>
      </c>
      <c r="R248" s="5">
        <v>1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8">
        <f>SUM(B248:Z248)</f>
        <v>8659</v>
      </c>
    </row>
    <row r="249" spans="1:27" x14ac:dyDescent="0.25">
      <c r="A249" s="5" t="s">
        <v>203</v>
      </c>
      <c r="B249" s="5">
        <v>157</v>
      </c>
      <c r="C249" s="5">
        <v>961</v>
      </c>
      <c r="D249" s="5">
        <v>0</v>
      </c>
      <c r="E249" s="5">
        <v>0</v>
      </c>
      <c r="F249" s="5">
        <v>0</v>
      </c>
      <c r="G249" s="5">
        <v>0</v>
      </c>
      <c r="H249" s="5">
        <v>3172</v>
      </c>
      <c r="I249" s="5">
        <v>0</v>
      </c>
      <c r="J249" s="5">
        <v>0</v>
      </c>
      <c r="K249" s="5">
        <v>0</v>
      </c>
      <c r="L249" s="5">
        <v>14</v>
      </c>
      <c r="M249" s="5">
        <v>0</v>
      </c>
      <c r="N249" s="5">
        <v>0</v>
      </c>
      <c r="O249" s="5">
        <v>12</v>
      </c>
      <c r="P249" s="5">
        <v>3</v>
      </c>
      <c r="Q249" s="5">
        <v>0</v>
      </c>
      <c r="R249" s="5">
        <v>0</v>
      </c>
      <c r="S249" s="5">
        <v>0</v>
      </c>
      <c r="T249" s="5">
        <v>246</v>
      </c>
      <c r="U249" s="5">
        <v>0</v>
      </c>
      <c r="V249" s="5">
        <v>0</v>
      </c>
      <c r="W249" s="5">
        <v>11</v>
      </c>
      <c r="X249" s="5">
        <v>0</v>
      </c>
      <c r="Y249" s="5">
        <v>0</v>
      </c>
      <c r="Z249" s="5">
        <v>0</v>
      </c>
      <c r="AA249" s="8">
        <f>SUM(B249:Z249)</f>
        <v>4576</v>
      </c>
    </row>
    <row r="250" spans="1:27" x14ac:dyDescent="0.25">
      <c r="A250" s="5" t="s">
        <v>173</v>
      </c>
      <c r="B250" s="5">
        <v>154</v>
      </c>
      <c r="C250" s="5">
        <v>613</v>
      </c>
      <c r="D250" s="5">
        <v>0</v>
      </c>
      <c r="E250" s="5">
        <v>0</v>
      </c>
      <c r="F250" s="5">
        <v>0</v>
      </c>
      <c r="G250" s="5">
        <v>0</v>
      </c>
      <c r="H250" s="5">
        <v>2106</v>
      </c>
      <c r="I250" s="5">
        <v>0</v>
      </c>
      <c r="J250" s="5">
        <v>1</v>
      </c>
      <c r="K250" s="5">
        <v>5</v>
      </c>
      <c r="L250" s="5">
        <v>0</v>
      </c>
      <c r="M250" s="5">
        <v>0</v>
      </c>
      <c r="N250" s="5">
        <v>34</v>
      </c>
      <c r="O250" s="5">
        <v>0</v>
      </c>
      <c r="P250" s="5">
        <v>43</v>
      </c>
      <c r="Q250" s="5">
        <v>2</v>
      </c>
      <c r="R250" s="5">
        <v>0</v>
      </c>
      <c r="S250" s="5">
        <v>0</v>
      </c>
      <c r="T250" s="5">
        <v>0</v>
      </c>
      <c r="U250" s="5">
        <v>1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8">
        <f>SUM(B250:Z250)</f>
        <v>2959</v>
      </c>
    </row>
    <row r="251" spans="1:27" x14ac:dyDescent="0.25">
      <c r="A251" s="5" t="s">
        <v>303</v>
      </c>
      <c r="B251" s="5">
        <v>151</v>
      </c>
      <c r="C251" s="5">
        <v>44</v>
      </c>
      <c r="D251" s="5">
        <v>0</v>
      </c>
      <c r="E251" s="5">
        <v>0</v>
      </c>
      <c r="F251" s="5">
        <v>0</v>
      </c>
      <c r="G251" s="5">
        <v>0</v>
      </c>
      <c r="H251" s="5">
        <v>410</v>
      </c>
      <c r="I251" s="5">
        <v>0</v>
      </c>
      <c r="J251" s="5">
        <v>23</v>
      </c>
      <c r="K251" s="5">
        <v>0</v>
      </c>
      <c r="L251" s="5">
        <v>9</v>
      </c>
      <c r="M251" s="5">
        <v>0</v>
      </c>
      <c r="N251" s="5">
        <v>0</v>
      </c>
      <c r="O251" s="5">
        <v>0</v>
      </c>
      <c r="P251" s="5">
        <v>0</v>
      </c>
      <c r="Q251" s="5">
        <v>18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8">
        <f>SUM(B251:Z251)</f>
        <v>655</v>
      </c>
    </row>
    <row r="252" spans="1:27" x14ac:dyDescent="0.25">
      <c r="A252" s="5" t="s">
        <v>177</v>
      </c>
      <c r="B252" s="5">
        <v>137</v>
      </c>
      <c r="C252" s="5">
        <v>480</v>
      </c>
      <c r="D252" s="5">
        <v>0</v>
      </c>
      <c r="E252" s="5">
        <v>0</v>
      </c>
      <c r="F252" s="5">
        <v>0</v>
      </c>
      <c r="G252" s="5">
        <v>0</v>
      </c>
      <c r="H252" s="5">
        <v>2786</v>
      </c>
      <c r="I252" s="5">
        <v>0</v>
      </c>
      <c r="J252" s="5">
        <v>2</v>
      </c>
      <c r="K252" s="5">
        <v>0</v>
      </c>
      <c r="L252" s="5">
        <v>22</v>
      </c>
      <c r="M252" s="5">
        <v>0</v>
      </c>
      <c r="N252" s="5">
        <v>0</v>
      </c>
      <c r="O252" s="5">
        <v>0</v>
      </c>
      <c r="P252" s="5">
        <v>9</v>
      </c>
      <c r="Q252" s="5">
        <v>79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8">
        <f>SUM(B252:Z252)</f>
        <v>3515</v>
      </c>
    </row>
    <row r="253" spans="1:27" x14ac:dyDescent="0.25">
      <c r="A253" s="5" t="s">
        <v>186</v>
      </c>
      <c r="B253" s="5">
        <v>128</v>
      </c>
      <c r="C253" s="5">
        <v>430</v>
      </c>
      <c r="D253" s="5">
        <v>0</v>
      </c>
      <c r="E253" s="5">
        <v>0</v>
      </c>
      <c r="F253" s="5">
        <v>0</v>
      </c>
      <c r="G253" s="5">
        <v>0</v>
      </c>
      <c r="H253" s="5">
        <v>3554</v>
      </c>
      <c r="I253" s="5">
        <v>0</v>
      </c>
      <c r="J253" s="5">
        <v>2</v>
      </c>
      <c r="K253" s="5">
        <v>2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13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8">
        <f>SUM(B253:Z253)</f>
        <v>4129</v>
      </c>
    </row>
    <row r="254" spans="1:27" x14ac:dyDescent="0.25">
      <c r="A254" s="5" t="s">
        <v>193</v>
      </c>
      <c r="B254" s="5">
        <v>121</v>
      </c>
      <c r="C254" s="5">
        <v>3474</v>
      </c>
      <c r="D254" s="5">
        <v>0</v>
      </c>
      <c r="E254" s="5">
        <v>1</v>
      </c>
      <c r="F254" s="5">
        <v>0</v>
      </c>
      <c r="G254" s="5">
        <v>0</v>
      </c>
      <c r="H254" s="5">
        <v>4109</v>
      </c>
      <c r="I254" s="5">
        <v>0</v>
      </c>
      <c r="J254" s="5">
        <v>0</v>
      </c>
      <c r="K254" s="5">
        <v>7</v>
      </c>
      <c r="L254" s="5">
        <v>66</v>
      </c>
      <c r="M254" s="5">
        <v>0</v>
      </c>
      <c r="N254" s="5">
        <v>3314</v>
      </c>
      <c r="O254" s="5">
        <v>0</v>
      </c>
      <c r="P254" s="5">
        <v>0</v>
      </c>
      <c r="Q254" s="5">
        <v>1</v>
      </c>
      <c r="R254" s="5">
        <v>0</v>
      </c>
      <c r="S254" s="5">
        <v>0</v>
      </c>
      <c r="T254" s="5">
        <v>138</v>
      </c>
      <c r="U254" s="5">
        <v>4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8">
        <f>SUM(B254:Z254)</f>
        <v>11235</v>
      </c>
    </row>
    <row r="255" spans="1:27" x14ac:dyDescent="0.25">
      <c r="A255" s="5" t="s">
        <v>257</v>
      </c>
      <c r="B255" s="5">
        <v>120</v>
      </c>
      <c r="C255" s="5">
        <v>1941</v>
      </c>
      <c r="D255" s="5">
        <v>0</v>
      </c>
      <c r="E255" s="5">
        <v>0</v>
      </c>
      <c r="F255" s="5">
        <v>0</v>
      </c>
      <c r="G255" s="5">
        <v>0</v>
      </c>
      <c r="H255" s="5">
        <v>2203</v>
      </c>
      <c r="I255" s="5">
        <v>0</v>
      </c>
      <c r="J255" s="5">
        <v>0</v>
      </c>
      <c r="K255" s="5">
        <v>1</v>
      </c>
      <c r="L255" s="5">
        <v>1</v>
      </c>
      <c r="M255" s="5">
        <v>0</v>
      </c>
      <c r="N255" s="5">
        <v>2088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1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8">
        <f>SUM(B255:Z255)</f>
        <v>6355</v>
      </c>
    </row>
    <row r="256" spans="1:27" x14ac:dyDescent="0.25">
      <c r="A256" s="5" t="s">
        <v>252</v>
      </c>
      <c r="B256" s="5">
        <v>119</v>
      </c>
      <c r="C256" s="5">
        <v>3636</v>
      </c>
      <c r="D256" s="5">
        <v>0</v>
      </c>
      <c r="E256" s="5">
        <v>0</v>
      </c>
      <c r="F256" s="5">
        <v>4</v>
      </c>
      <c r="G256" s="5">
        <v>0</v>
      </c>
      <c r="H256" s="5">
        <v>1322</v>
      </c>
      <c r="I256" s="5">
        <v>0</v>
      </c>
      <c r="J256" s="5">
        <v>0</v>
      </c>
      <c r="K256" s="5">
        <v>3</v>
      </c>
      <c r="L256" s="5">
        <v>20</v>
      </c>
      <c r="M256" s="5">
        <v>0</v>
      </c>
      <c r="N256" s="5">
        <v>2702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2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8">
        <f>SUM(B256:Z256)</f>
        <v>7808</v>
      </c>
    </row>
    <row r="257" spans="1:27" x14ac:dyDescent="0.25">
      <c r="A257" s="5" t="s">
        <v>171</v>
      </c>
      <c r="B257" s="5">
        <v>119</v>
      </c>
      <c r="C257" s="5">
        <v>78</v>
      </c>
      <c r="D257" s="5">
        <v>0</v>
      </c>
      <c r="E257" s="5">
        <v>0</v>
      </c>
      <c r="F257" s="5">
        <v>0</v>
      </c>
      <c r="G257" s="5">
        <v>0</v>
      </c>
      <c r="H257" s="5">
        <v>1565</v>
      </c>
      <c r="I257" s="5">
        <v>0</v>
      </c>
      <c r="J257" s="5">
        <v>0</v>
      </c>
      <c r="K257" s="5">
        <v>3</v>
      </c>
      <c r="L257" s="5">
        <v>39</v>
      </c>
      <c r="M257" s="5">
        <v>0</v>
      </c>
      <c r="N257" s="5">
        <v>0</v>
      </c>
      <c r="O257" s="5">
        <v>0</v>
      </c>
      <c r="P257" s="5">
        <v>22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8">
        <f>SUM(B257:Z257)</f>
        <v>1826</v>
      </c>
    </row>
    <row r="258" spans="1:27" x14ac:dyDescent="0.25">
      <c r="A258" s="5" t="s">
        <v>179</v>
      </c>
      <c r="B258" s="5">
        <v>118</v>
      </c>
      <c r="C258" s="5">
        <v>1415</v>
      </c>
      <c r="D258" s="5">
        <v>0</v>
      </c>
      <c r="E258" s="5">
        <v>0</v>
      </c>
      <c r="F258" s="5">
        <v>0</v>
      </c>
      <c r="G258" s="5">
        <v>0</v>
      </c>
      <c r="H258" s="5">
        <v>1298</v>
      </c>
      <c r="I258" s="5">
        <v>0</v>
      </c>
      <c r="J258" s="5">
        <v>0</v>
      </c>
      <c r="K258" s="5">
        <v>0</v>
      </c>
      <c r="L258" s="5">
        <v>11</v>
      </c>
      <c r="M258" s="5">
        <v>0</v>
      </c>
      <c r="N258" s="5">
        <v>0</v>
      </c>
      <c r="O258" s="5">
        <v>0</v>
      </c>
      <c r="P258" s="5">
        <v>24</v>
      </c>
      <c r="Q258" s="5">
        <v>17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8">
        <f>SUM(B258:Z258)</f>
        <v>2883</v>
      </c>
    </row>
    <row r="259" spans="1:27" x14ac:dyDescent="0.25">
      <c r="A259" s="5" t="s">
        <v>190</v>
      </c>
      <c r="B259" s="5">
        <v>115</v>
      </c>
      <c r="C259" s="5">
        <v>1693</v>
      </c>
      <c r="D259" s="5">
        <v>0</v>
      </c>
      <c r="E259" s="5">
        <v>0</v>
      </c>
      <c r="F259" s="5">
        <v>0</v>
      </c>
      <c r="G259" s="5">
        <v>0</v>
      </c>
      <c r="H259" s="5">
        <v>4450</v>
      </c>
      <c r="I259" s="5">
        <v>0</v>
      </c>
      <c r="J259" s="5">
        <v>0</v>
      </c>
      <c r="K259" s="5">
        <v>13</v>
      </c>
      <c r="L259" s="5">
        <v>8</v>
      </c>
      <c r="M259" s="5">
        <v>3</v>
      </c>
      <c r="N259" s="5">
        <v>1938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8">
        <f>SUM(B259:Z259)</f>
        <v>8220</v>
      </c>
    </row>
    <row r="260" spans="1:27" x14ac:dyDescent="0.25">
      <c r="A260" s="5" t="s">
        <v>201</v>
      </c>
      <c r="B260" s="5">
        <v>114</v>
      </c>
      <c r="C260" s="5">
        <v>877</v>
      </c>
      <c r="D260" s="5">
        <v>0</v>
      </c>
      <c r="E260" s="5">
        <v>0</v>
      </c>
      <c r="F260" s="5">
        <v>0</v>
      </c>
      <c r="G260" s="5">
        <v>0</v>
      </c>
      <c r="H260" s="5">
        <v>2576</v>
      </c>
      <c r="I260" s="5">
        <v>0</v>
      </c>
      <c r="J260" s="5">
        <v>1</v>
      </c>
      <c r="K260" s="5">
        <v>6</v>
      </c>
      <c r="L260" s="5">
        <v>41</v>
      </c>
      <c r="M260" s="5">
        <v>0</v>
      </c>
      <c r="N260" s="5">
        <v>238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3</v>
      </c>
      <c r="V260" s="5">
        <v>0</v>
      </c>
      <c r="W260" s="5">
        <v>4</v>
      </c>
      <c r="X260" s="5">
        <v>0</v>
      </c>
      <c r="Y260" s="5">
        <v>0</v>
      </c>
      <c r="Z260" s="5">
        <v>0</v>
      </c>
      <c r="AA260" s="8">
        <f>SUM(B260:Z260)</f>
        <v>3860</v>
      </c>
    </row>
    <row r="261" spans="1:27" x14ac:dyDescent="0.25">
      <c r="A261" s="5" t="s">
        <v>129</v>
      </c>
      <c r="B261" s="5">
        <v>106</v>
      </c>
      <c r="C261" s="5">
        <v>10174</v>
      </c>
      <c r="D261" s="5">
        <v>0</v>
      </c>
      <c r="E261" s="5">
        <v>2</v>
      </c>
      <c r="F261" s="5">
        <v>0</v>
      </c>
      <c r="G261" s="5">
        <v>0</v>
      </c>
      <c r="H261" s="5">
        <v>1902</v>
      </c>
      <c r="I261" s="5">
        <v>0</v>
      </c>
      <c r="J261" s="5">
        <v>0</v>
      </c>
      <c r="K261" s="5">
        <v>66</v>
      </c>
      <c r="L261" s="5">
        <v>56</v>
      </c>
      <c r="M261" s="5">
        <v>0</v>
      </c>
      <c r="N261" s="5">
        <v>4037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19</v>
      </c>
      <c r="U261" s="5">
        <v>4</v>
      </c>
      <c r="V261" s="5">
        <v>0</v>
      </c>
      <c r="W261" s="5">
        <v>6</v>
      </c>
      <c r="X261" s="5">
        <v>0</v>
      </c>
      <c r="Y261" s="5">
        <v>0</v>
      </c>
      <c r="Z261" s="5">
        <v>0</v>
      </c>
      <c r="AA261" s="8">
        <f>SUM(B261:Z261)</f>
        <v>16372</v>
      </c>
    </row>
    <row r="262" spans="1:27" x14ac:dyDescent="0.25">
      <c r="A262" s="5" t="s">
        <v>214</v>
      </c>
      <c r="B262" s="5">
        <v>105</v>
      </c>
      <c r="C262" s="5">
        <v>532</v>
      </c>
      <c r="D262" s="5">
        <v>0</v>
      </c>
      <c r="E262" s="5">
        <v>0</v>
      </c>
      <c r="F262" s="5">
        <v>0</v>
      </c>
      <c r="G262" s="5">
        <v>0</v>
      </c>
      <c r="H262" s="5">
        <v>1480</v>
      </c>
      <c r="I262" s="5">
        <v>0</v>
      </c>
      <c r="J262" s="5">
        <v>0</v>
      </c>
      <c r="K262" s="5">
        <v>16</v>
      </c>
      <c r="L262" s="5">
        <v>434</v>
      </c>
      <c r="M262" s="5">
        <v>0</v>
      </c>
      <c r="N262" s="5">
        <v>0</v>
      </c>
      <c r="O262" s="5">
        <v>0</v>
      </c>
      <c r="P262" s="5">
        <v>7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8">
        <f>SUM(B262:Z262)</f>
        <v>2574</v>
      </c>
    </row>
    <row r="263" spans="1:27" x14ac:dyDescent="0.25">
      <c r="A263" s="5" t="s">
        <v>198</v>
      </c>
      <c r="B263" s="5">
        <v>100</v>
      </c>
      <c r="C263" s="5">
        <v>1250</v>
      </c>
      <c r="D263" s="5">
        <v>0</v>
      </c>
      <c r="E263" s="5">
        <v>0</v>
      </c>
      <c r="F263" s="5">
        <v>29</v>
      </c>
      <c r="G263" s="5">
        <v>0</v>
      </c>
      <c r="H263" s="5">
        <v>3212</v>
      </c>
      <c r="I263" s="5">
        <v>0</v>
      </c>
      <c r="J263" s="5">
        <v>1</v>
      </c>
      <c r="K263" s="5">
        <v>1</v>
      </c>
      <c r="L263" s="5">
        <v>7</v>
      </c>
      <c r="M263" s="5">
        <v>0</v>
      </c>
      <c r="N263" s="5">
        <v>1048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1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8">
        <f>SUM(B263:Z263)</f>
        <v>5649</v>
      </c>
    </row>
    <row r="264" spans="1:27" x14ac:dyDescent="0.25">
      <c r="A264" s="5" t="s">
        <v>302</v>
      </c>
      <c r="B264" s="5">
        <v>99</v>
      </c>
      <c r="C264" s="5">
        <v>147</v>
      </c>
      <c r="D264" s="5">
        <v>0</v>
      </c>
      <c r="E264" s="5">
        <v>0</v>
      </c>
      <c r="F264" s="5">
        <v>0</v>
      </c>
      <c r="G264" s="5">
        <v>0</v>
      </c>
      <c r="H264" s="5">
        <v>194</v>
      </c>
      <c r="I264" s="5">
        <v>0</v>
      </c>
      <c r="J264" s="5">
        <v>0</v>
      </c>
      <c r="K264" s="5">
        <v>7</v>
      </c>
      <c r="L264" s="5">
        <v>33</v>
      </c>
      <c r="M264" s="5">
        <v>0</v>
      </c>
      <c r="N264" s="5">
        <v>0</v>
      </c>
      <c r="O264" s="5">
        <v>2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8">
        <f>SUM(B264:Z264)</f>
        <v>482</v>
      </c>
    </row>
    <row r="265" spans="1:27" x14ac:dyDescent="0.25">
      <c r="A265" s="5" t="s">
        <v>185</v>
      </c>
      <c r="B265" s="5">
        <v>98</v>
      </c>
      <c r="C265" s="5">
        <v>2004</v>
      </c>
      <c r="D265" s="5">
        <v>0</v>
      </c>
      <c r="E265" s="5">
        <v>0</v>
      </c>
      <c r="F265" s="5">
        <v>0</v>
      </c>
      <c r="G265" s="5">
        <v>0</v>
      </c>
      <c r="H265" s="5">
        <v>3611</v>
      </c>
      <c r="I265" s="5">
        <v>0</v>
      </c>
      <c r="J265" s="5">
        <v>0</v>
      </c>
      <c r="K265" s="5">
        <v>2</v>
      </c>
      <c r="L265" s="5">
        <v>55</v>
      </c>
      <c r="M265" s="5">
        <v>0</v>
      </c>
      <c r="N265" s="5">
        <v>279</v>
      </c>
      <c r="O265" s="5">
        <v>0</v>
      </c>
      <c r="P265" s="5">
        <v>0</v>
      </c>
      <c r="Q265" s="5">
        <v>3</v>
      </c>
      <c r="R265" s="5">
        <v>0</v>
      </c>
      <c r="S265" s="5">
        <v>0</v>
      </c>
      <c r="T265" s="5">
        <v>1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8">
        <f>SUM(B265:Z265)</f>
        <v>6053</v>
      </c>
    </row>
    <row r="266" spans="1:27" x14ac:dyDescent="0.25">
      <c r="A266" s="5" t="s">
        <v>235</v>
      </c>
      <c r="B266" s="5">
        <v>95</v>
      </c>
      <c r="C266" s="5">
        <v>6604</v>
      </c>
      <c r="D266" s="5">
        <v>4</v>
      </c>
      <c r="E266" s="5">
        <v>4</v>
      </c>
      <c r="F266" s="5">
        <v>12</v>
      </c>
      <c r="G266" s="5">
        <v>1</v>
      </c>
      <c r="H266" s="5">
        <v>1514</v>
      </c>
      <c r="I266" s="5">
        <v>0</v>
      </c>
      <c r="J266" s="5">
        <v>0</v>
      </c>
      <c r="K266" s="5">
        <v>2</v>
      </c>
      <c r="L266" s="5">
        <v>51</v>
      </c>
      <c r="M266" s="5">
        <v>0</v>
      </c>
      <c r="N266" s="5">
        <v>1428</v>
      </c>
      <c r="O266" s="5">
        <v>0</v>
      </c>
      <c r="P266" s="5">
        <v>1</v>
      </c>
      <c r="Q266" s="5">
        <v>0</v>
      </c>
      <c r="R266" s="5">
        <v>0</v>
      </c>
      <c r="S266" s="5">
        <v>0</v>
      </c>
      <c r="T266" s="5">
        <v>0</v>
      </c>
      <c r="U266" s="5">
        <v>1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8">
        <f>SUM(B266:Z266)</f>
        <v>9717</v>
      </c>
    </row>
    <row r="267" spans="1:27" x14ac:dyDescent="0.25">
      <c r="A267" s="5" t="s">
        <v>48</v>
      </c>
      <c r="B267" s="5">
        <v>93</v>
      </c>
      <c r="C267" s="5">
        <v>5776</v>
      </c>
      <c r="D267" s="5">
        <v>0</v>
      </c>
      <c r="E267" s="5">
        <v>0</v>
      </c>
      <c r="F267" s="5">
        <v>16</v>
      </c>
      <c r="G267" s="5">
        <v>0</v>
      </c>
      <c r="H267" s="5">
        <v>574</v>
      </c>
      <c r="I267" s="5">
        <v>0</v>
      </c>
      <c r="J267" s="5">
        <v>0</v>
      </c>
      <c r="K267" s="5">
        <v>23</v>
      </c>
      <c r="L267" s="5">
        <v>673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8">
        <f>SUM(B267:Z267)</f>
        <v>7155</v>
      </c>
    </row>
    <row r="268" spans="1:27" x14ac:dyDescent="0.25">
      <c r="A268" s="5" t="s">
        <v>154</v>
      </c>
      <c r="B268" s="5">
        <v>74</v>
      </c>
      <c r="C268" s="5">
        <v>2823</v>
      </c>
      <c r="D268" s="5">
        <v>0</v>
      </c>
      <c r="E268" s="5">
        <v>0</v>
      </c>
      <c r="F268" s="5">
        <v>3</v>
      </c>
      <c r="G268" s="5">
        <v>2</v>
      </c>
      <c r="H268" s="5">
        <v>2020</v>
      </c>
      <c r="I268" s="5">
        <v>0</v>
      </c>
      <c r="J268" s="5">
        <v>0</v>
      </c>
      <c r="K268" s="5">
        <v>0</v>
      </c>
      <c r="L268" s="5">
        <v>11</v>
      </c>
      <c r="M268" s="5">
        <v>0</v>
      </c>
      <c r="N268" s="5">
        <v>3961</v>
      </c>
      <c r="O268" s="5">
        <v>0</v>
      </c>
      <c r="P268" s="5">
        <v>0</v>
      </c>
      <c r="Q268" s="5">
        <v>1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8">
        <f>SUM(B268:Z268)</f>
        <v>8895</v>
      </c>
    </row>
    <row r="269" spans="1:27" x14ac:dyDescent="0.25">
      <c r="A269" s="5" t="s">
        <v>155</v>
      </c>
      <c r="B269" s="5">
        <v>74</v>
      </c>
      <c r="C269" s="5">
        <v>336</v>
      </c>
      <c r="D269" s="5">
        <v>0</v>
      </c>
      <c r="E269" s="5">
        <v>0</v>
      </c>
      <c r="F269" s="5">
        <v>0</v>
      </c>
      <c r="G269" s="5">
        <v>0</v>
      </c>
      <c r="H269" s="5">
        <v>1639</v>
      </c>
      <c r="I269" s="5">
        <v>0</v>
      </c>
      <c r="J269" s="5">
        <v>0</v>
      </c>
      <c r="K269" s="5">
        <v>1</v>
      </c>
      <c r="L269" s="5">
        <v>9</v>
      </c>
      <c r="M269" s="5">
        <v>0</v>
      </c>
      <c r="N269" s="5">
        <v>81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2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8">
        <f>SUM(B269:Z269)</f>
        <v>2142</v>
      </c>
    </row>
    <row r="270" spans="1:27" x14ac:dyDescent="0.25">
      <c r="A270" s="5" t="s">
        <v>258</v>
      </c>
      <c r="B270" s="5">
        <v>74</v>
      </c>
      <c r="C270" s="5">
        <v>423</v>
      </c>
      <c r="D270" s="5">
        <v>0</v>
      </c>
      <c r="E270" s="5">
        <v>60</v>
      </c>
      <c r="F270" s="5">
        <v>44</v>
      </c>
      <c r="G270" s="5">
        <v>0</v>
      </c>
      <c r="H270" s="5">
        <v>1113</v>
      </c>
      <c r="I270" s="5">
        <v>0</v>
      </c>
      <c r="J270" s="5">
        <v>0</v>
      </c>
      <c r="K270" s="5">
        <v>12</v>
      </c>
      <c r="L270" s="5">
        <v>158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1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8">
        <f>SUM(B270:Z270)</f>
        <v>1885</v>
      </c>
    </row>
    <row r="271" spans="1:27" x14ac:dyDescent="0.25">
      <c r="A271" s="5" t="s">
        <v>192</v>
      </c>
      <c r="B271" s="5">
        <v>69</v>
      </c>
      <c r="C271" s="5">
        <v>774</v>
      </c>
      <c r="D271" s="5">
        <v>0</v>
      </c>
      <c r="E271" s="5">
        <v>0</v>
      </c>
      <c r="F271" s="5">
        <v>0</v>
      </c>
      <c r="G271" s="5">
        <v>0</v>
      </c>
      <c r="H271" s="5">
        <v>3566</v>
      </c>
      <c r="I271" s="5">
        <v>0</v>
      </c>
      <c r="J271" s="5">
        <v>0</v>
      </c>
      <c r="K271" s="5">
        <v>2</v>
      </c>
      <c r="L271" s="5">
        <v>4</v>
      </c>
      <c r="M271" s="5">
        <v>0</v>
      </c>
      <c r="N271" s="5">
        <v>632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8">
        <f>SUM(B271:Z271)</f>
        <v>5047</v>
      </c>
    </row>
    <row r="272" spans="1:27" x14ac:dyDescent="0.25">
      <c r="A272" s="5" t="s">
        <v>128</v>
      </c>
      <c r="B272" s="5">
        <v>67</v>
      </c>
      <c r="C272" s="5">
        <v>1109</v>
      </c>
      <c r="D272" s="5">
        <v>0</v>
      </c>
      <c r="E272" s="5">
        <v>21</v>
      </c>
      <c r="F272" s="5">
        <v>0</v>
      </c>
      <c r="G272" s="5">
        <v>0</v>
      </c>
      <c r="H272" s="5">
        <v>2822</v>
      </c>
      <c r="I272" s="5">
        <v>0</v>
      </c>
      <c r="J272" s="5">
        <v>0</v>
      </c>
      <c r="K272" s="5">
        <v>19</v>
      </c>
      <c r="L272" s="5">
        <v>61</v>
      </c>
      <c r="M272" s="5">
        <v>0</v>
      </c>
      <c r="N272" s="5">
        <v>65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4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8">
        <f>SUM(B272:Z272)</f>
        <v>4168</v>
      </c>
    </row>
    <row r="273" spans="1:27" x14ac:dyDescent="0.25">
      <c r="A273" s="5" t="s">
        <v>144</v>
      </c>
      <c r="B273" s="5">
        <v>66</v>
      </c>
      <c r="C273" s="5">
        <v>11436</v>
      </c>
      <c r="D273" s="5">
        <v>0</v>
      </c>
      <c r="E273" s="5">
        <v>18</v>
      </c>
      <c r="F273" s="5">
        <v>18</v>
      </c>
      <c r="G273" s="5">
        <v>0</v>
      </c>
      <c r="H273" s="5">
        <v>1552</v>
      </c>
      <c r="I273" s="5">
        <v>0</v>
      </c>
      <c r="J273" s="5">
        <v>0</v>
      </c>
      <c r="K273" s="5">
        <v>13</v>
      </c>
      <c r="L273" s="5">
        <v>6</v>
      </c>
      <c r="M273" s="5">
        <v>0</v>
      </c>
      <c r="N273" s="5">
        <v>3534</v>
      </c>
      <c r="O273" s="5">
        <v>0</v>
      </c>
      <c r="P273" s="5">
        <v>0</v>
      </c>
      <c r="Q273" s="5">
        <v>1</v>
      </c>
      <c r="R273" s="5">
        <v>0</v>
      </c>
      <c r="S273" s="5">
        <v>0</v>
      </c>
      <c r="T273" s="5">
        <v>1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8">
        <f>SUM(B273:Z273)</f>
        <v>16645</v>
      </c>
    </row>
    <row r="274" spans="1:27" x14ac:dyDescent="0.25">
      <c r="A274" s="5" t="s">
        <v>176</v>
      </c>
      <c r="B274" s="5">
        <v>66</v>
      </c>
      <c r="C274" s="5">
        <v>475</v>
      </c>
      <c r="D274" s="5">
        <v>0</v>
      </c>
      <c r="E274" s="5">
        <v>0</v>
      </c>
      <c r="F274" s="5">
        <v>0</v>
      </c>
      <c r="G274" s="5">
        <v>0</v>
      </c>
      <c r="H274" s="5">
        <v>2060</v>
      </c>
      <c r="I274" s="5">
        <v>0</v>
      </c>
      <c r="J274" s="5">
        <v>1</v>
      </c>
      <c r="K274" s="5">
        <v>0</v>
      </c>
      <c r="L274" s="5">
        <v>8</v>
      </c>
      <c r="M274" s="5">
        <v>0</v>
      </c>
      <c r="N274" s="5">
        <v>0</v>
      </c>
      <c r="O274" s="5">
        <v>0</v>
      </c>
      <c r="P274" s="5">
        <v>55</v>
      </c>
      <c r="Q274" s="5">
        <v>16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8">
        <f>SUM(B274:Z274)</f>
        <v>2681</v>
      </c>
    </row>
    <row r="275" spans="1:27" x14ac:dyDescent="0.25">
      <c r="A275" s="5" t="s">
        <v>183</v>
      </c>
      <c r="B275" s="5">
        <v>64</v>
      </c>
      <c r="C275" s="5">
        <v>1233</v>
      </c>
      <c r="D275" s="5">
        <v>0</v>
      </c>
      <c r="E275" s="5">
        <v>0</v>
      </c>
      <c r="F275" s="5">
        <v>2</v>
      </c>
      <c r="G275" s="5">
        <v>0</v>
      </c>
      <c r="H275" s="5">
        <v>1962</v>
      </c>
      <c r="I275" s="5">
        <v>0</v>
      </c>
      <c r="J275" s="5">
        <v>56</v>
      </c>
      <c r="K275" s="5">
        <v>4</v>
      </c>
      <c r="L275" s="5">
        <v>104</v>
      </c>
      <c r="M275" s="5">
        <v>0</v>
      </c>
      <c r="N275" s="5">
        <v>189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8">
        <f>SUM(B275:Z275)</f>
        <v>3614</v>
      </c>
    </row>
    <row r="276" spans="1:27" x14ac:dyDescent="0.25">
      <c r="A276" s="5" t="s">
        <v>264</v>
      </c>
      <c r="B276" s="5">
        <v>64</v>
      </c>
      <c r="C276" s="5">
        <v>285</v>
      </c>
      <c r="D276" s="5">
        <v>0</v>
      </c>
      <c r="E276" s="5">
        <v>29</v>
      </c>
      <c r="F276" s="5">
        <v>40</v>
      </c>
      <c r="G276" s="5">
        <v>1</v>
      </c>
      <c r="H276" s="5">
        <v>1974</v>
      </c>
      <c r="I276" s="5">
        <v>0</v>
      </c>
      <c r="J276" s="5">
        <v>0</v>
      </c>
      <c r="K276" s="5">
        <v>3</v>
      </c>
      <c r="L276" s="5">
        <v>38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8">
        <f>SUM(B276:Z276)</f>
        <v>2434</v>
      </c>
    </row>
    <row r="277" spans="1:27" x14ac:dyDescent="0.25">
      <c r="A277" s="5" t="s">
        <v>247</v>
      </c>
      <c r="B277" s="5">
        <v>63</v>
      </c>
      <c r="C277" s="5">
        <v>3370</v>
      </c>
      <c r="D277" s="5">
        <v>0</v>
      </c>
      <c r="E277" s="5">
        <v>0</v>
      </c>
      <c r="F277" s="5">
        <v>1</v>
      </c>
      <c r="G277" s="5">
        <v>0</v>
      </c>
      <c r="H277" s="5">
        <v>3257</v>
      </c>
      <c r="I277" s="5">
        <v>0</v>
      </c>
      <c r="J277" s="5">
        <v>0</v>
      </c>
      <c r="K277" s="5">
        <v>10</v>
      </c>
      <c r="L277" s="5">
        <v>58</v>
      </c>
      <c r="M277" s="5">
        <v>0</v>
      </c>
      <c r="N277" s="5">
        <v>2875</v>
      </c>
      <c r="O277" s="5">
        <v>0</v>
      </c>
      <c r="P277" s="5">
        <v>3</v>
      </c>
      <c r="Q277" s="5">
        <v>1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8">
        <f>SUM(B277:Z277)</f>
        <v>9638</v>
      </c>
    </row>
    <row r="278" spans="1:27" x14ac:dyDescent="0.25">
      <c r="A278" s="5" t="s">
        <v>209</v>
      </c>
      <c r="B278" s="5">
        <v>61</v>
      </c>
      <c r="C278" s="5">
        <v>844</v>
      </c>
      <c r="D278" s="5">
        <v>0</v>
      </c>
      <c r="E278" s="5">
        <v>1</v>
      </c>
      <c r="F278" s="5">
        <v>0</v>
      </c>
      <c r="G278" s="5">
        <v>0</v>
      </c>
      <c r="H278" s="5">
        <v>1987</v>
      </c>
      <c r="I278" s="5">
        <v>0</v>
      </c>
      <c r="J278" s="5">
        <v>0</v>
      </c>
      <c r="K278" s="5">
        <v>4</v>
      </c>
      <c r="L278" s="5">
        <v>11</v>
      </c>
      <c r="M278" s="5">
        <v>0</v>
      </c>
      <c r="N278" s="5">
        <v>363</v>
      </c>
      <c r="O278" s="5">
        <v>0</v>
      </c>
      <c r="P278" s="5">
        <v>0</v>
      </c>
      <c r="Q278" s="5">
        <v>1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8">
        <f>SUM(B278:Z278)</f>
        <v>3272</v>
      </c>
    </row>
    <row r="279" spans="1:27" x14ac:dyDescent="0.25">
      <c r="A279" s="5" t="s">
        <v>150</v>
      </c>
      <c r="B279" s="5">
        <v>59</v>
      </c>
      <c r="C279" s="5">
        <v>2387</v>
      </c>
      <c r="D279" s="5">
        <v>0</v>
      </c>
      <c r="E279" s="5">
        <v>0</v>
      </c>
      <c r="F279" s="5">
        <v>0</v>
      </c>
      <c r="G279" s="5">
        <v>0</v>
      </c>
      <c r="H279" s="5">
        <v>1935</v>
      </c>
      <c r="I279" s="5">
        <v>0</v>
      </c>
      <c r="J279" s="5">
        <v>0</v>
      </c>
      <c r="K279" s="5">
        <v>10</v>
      </c>
      <c r="L279" s="5">
        <v>5</v>
      </c>
      <c r="M279" s="5">
        <v>0</v>
      </c>
      <c r="N279" s="5">
        <v>5713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8">
        <f>SUM(B279:Z279)</f>
        <v>10109</v>
      </c>
    </row>
    <row r="280" spans="1:27" x14ac:dyDescent="0.25">
      <c r="A280" s="5" t="s">
        <v>130</v>
      </c>
      <c r="B280" s="5">
        <v>55</v>
      </c>
      <c r="C280" s="5">
        <v>1094</v>
      </c>
      <c r="D280" s="5">
        <v>0</v>
      </c>
      <c r="E280" s="5">
        <v>0</v>
      </c>
      <c r="F280" s="5">
        <v>53</v>
      </c>
      <c r="G280" s="5">
        <v>0</v>
      </c>
      <c r="H280" s="5">
        <v>2559</v>
      </c>
      <c r="I280" s="5">
        <v>0</v>
      </c>
      <c r="J280" s="5">
        <v>0</v>
      </c>
      <c r="K280" s="5">
        <v>0</v>
      </c>
      <c r="L280" s="5">
        <v>2</v>
      </c>
      <c r="M280" s="5">
        <v>0</v>
      </c>
      <c r="N280" s="5">
        <v>298</v>
      </c>
      <c r="O280" s="5">
        <v>0</v>
      </c>
      <c r="P280" s="5">
        <v>12</v>
      </c>
      <c r="Q280" s="5">
        <v>1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8">
        <f>SUM(B280:Z280)</f>
        <v>4074</v>
      </c>
    </row>
    <row r="281" spans="1:27" x14ac:dyDescent="0.25">
      <c r="A281" s="5" t="s">
        <v>237</v>
      </c>
      <c r="B281" s="5">
        <v>51</v>
      </c>
      <c r="C281" s="5">
        <v>26786</v>
      </c>
      <c r="D281" s="5">
        <v>30</v>
      </c>
      <c r="E281" s="5">
        <v>0</v>
      </c>
      <c r="F281" s="5">
        <v>10</v>
      </c>
      <c r="G281" s="5">
        <v>4</v>
      </c>
      <c r="H281" s="5">
        <v>2006</v>
      </c>
      <c r="I281" s="5">
        <v>0</v>
      </c>
      <c r="J281" s="5">
        <v>0</v>
      </c>
      <c r="K281" s="5">
        <v>2</v>
      </c>
      <c r="L281" s="5">
        <v>2</v>
      </c>
      <c r="M281" s="5">
        <v>0</v>
      </c>
      <c r="N281" s="5">
        <v>8137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8">
        <f>SUM(B281:Z281)</f>
        <v>37028</v>
      </c>
    </row>
    <row r="282" spans="1:27" x14ac:dyDescent="0.25">
      <c r="A282" s="5" t="s">
        <v>152</v>
      </c>
      <c r="B282" s="5">
        <v>51</v>
      </c>
      <c r="C282" s="5">
        <v>2982</v>
      </c>
      <c r="D282" s="5">
        <v>0</v>
      </c>
      <c r="E282" s="5">
        <v>0</v>
      </c>
      <c r="F282" s="5">
        <v>6</v>
      </c>
      <c r="G282" s="5">
        <v>0</v>
      </c>
      <c r="H282" s="5">
        <v>2855</v>
      </c>
      <c r="I282" s="5">
        <v>0</v>
      </c>
      <c r="J282" s="5">
        <v>0</v>
      </c>
      <c r="K282" s="5">
        <v>0</v>
      </c>
      <c r="L282" s="5">
        <v>4</v>
      </c>
      <c r="M282" s="5">
        <v>0</v>
      </c>
      <c r="N282" s="5">
        <v>10212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1</v>
      </c>
      <c r="X282" s="5">
        <v>0</v>
      </c>
      <c r="Y282" s="5">
        <v>0</v>
      </c>
      <c r="Z282" s="5">
        <v>0</v>
      </c>
      <c r="AA282" s="8">
        <f>SUM(B282:Z282)</f>
        <v>16111</v>
      </c>
    </row>
    <row r="283" spans="1:27" x14ac:dyDescent="0.25">
      <c r="A283" s="5" t="s">
        <v>248</v>
      </c>
      <c r="B283" s="5">
        <v>51</v>
      </c>
      <c r="C283" s="5">
        <v>767</v>
      </c>
      <c r="D283" s="5">
        <v>0</v>
      </c>
      <c r="E283" s="5">
        <v>0</v>
      </c>
      <c r="F283" s="5">
        <v>0</v>
      </c>
      <c r="G283" s="5">
        <v>0</v>
      </c>
      <c r="H283" s="5">
        <v>1494</v>
      </c>
      <c r="I283" s="5">
        <v>0</v>
      </c>
      <c r="J283" s="5">
        <v>0</v>
      </c>
      <c r="K283" s="5">
        <v>2</v>
      </c>
      <c r="L283" s="5">
        <v>3</v>
      </c>
      <c r="M283" s="5">
        <v>0</v>
      </c>
      <c r="N283" s="5">
        <v>964</v>
      </c>
      <c r="O283" s="5">
        <v>1</v>
      </c>
      <c r="P283" s="5">
        <v>116</v>
      </c>
      <c r="Q283" s="5">
        <v>3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8">
        <f>SUM(B283:Z283)</f>
        <v>3401</v>
      </c>
    </row>
    <row r="284" spans="1:27" x14ac:dyDescent="0.25">
      <c r="A284" s="5" t="s">
        <v>178</v>
      </c>
      <c r="B284" s="5">
        <v>39</v>
      </c>
      <c r="C284" s="5">
        <v>1705</v>
      </c>
      <c r="D284" s="5">
        <v>0</v>
      </c>
      <c r="E284" s="5">
        <v>0</v>
      </c>
      <c r="F284" s="5">
        <v>0</v>
      </c>
      <c r="G284" s="5">
        <v>0</v>
      </c>
      <c r="H284" s="5">
        <v>1450</v>
      </c>
      <c r="I284" s="5">
        <v>0</v>
      </c>
      <c r="J284" s="5">
        <v>0</v>
      </c>
      <c r="K284" s="5">
        <v>14</v>
      </c>
      <c r="L284" s="5">
        <v>96</v>
      </c>
      <c r="M284" s="5">
        <v>0</v>
      </c>
      <c r="N284" s="5">
        <v>9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1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8">
        <f>SUM(B284:Z284)</f>
        <v>3314</v>
      </c>
    </row>
    <row r="285" spans="1:27" x14ac:dyDescent="0.25">
      <c r="A285" s="5" t="s">
        <v>84</v>
      </c>
      <c r="B285" s="5">
        <v>38</v>
      </c>
      <c r="C285" s="5">
        <v>69454</v>
      </c>
      <c r="D285" s="5">
        <v>0</v>
      </c>
      <c r="E285" s="5">
        <v>3478</v>
      </c>
      <c r="F285" s="5">
        <v>1736</v>
      </c>
      <c r="G285" s="5">
        <v>0</v>
      </c>
      <c r="H285" s="5">
        <v>24</v>
      </c>
      <c r="I285" s="5">
        <v>0</v>
      </c>
      <c r="J285" s="5">
        <v>0</v>
      </c>
      <c r="K285" s="5">
        <v>38</v>
      </c>
      <c r="L285" s="5">
        <v>169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8">
        <f>SUM(B285:Z285)</f>
        <v>74937</v>
      </c>
    </row>
    <row r="286" spans="1:27" x14ac:dyDescent="0.25">
      <c r="A286" s="5" t="s">
        <v>255</v>
      </c>
      <c r="B286" s="5">
        <v>32</v>
      </c>
      <c r="C286" s="5">
        <v>8829</v>
      </c>
      <c r="D286" s="5">
        <v>0</v>
      </c>
      <c r="E286" s="5">
        <v>0</v>
      </c>
      <c r="F286" s="5">
        <v>0</v>
      </c>
      <c r="G286" s="5">
        <v>0</v>
      </c>
      <c r="H286" s="5">
        <v>1423</v>
      </c>
      <c r="I286" s="5">
        <v>0</v>
      </c>
      <c r="J286" s="5">
        <v>0</v>
      </c>
      <c r="K286" s="5">
        <v>0</v>
      </c>
      <c r="L286" s="5">
        <v>2</v>
      </c>
      <c r="M286" s="5">
        <v>0</v>
      </c>
      <c r="N286" s="5">
        <v>14524</v>
      </c>
      <c r="O286" s="5">
        <v>0</v>
      </c>
      <c r="P286" s="5">
        <v>0</v>
      </c>
      <c r="Q286" s="5">
        <v>2</v>
      </c>
      <c r="R286" s="5">
        <v>1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8">
        <f>SUM(B286:Z286)</f>
        <v>24813</v>
      </c>
    </row>
    <row r="287" spans="1:27" x14ac:dyDescent="0.25">
      <c r="A287" s="5" t="s">
        <v>172</v>
      </c>
      <c r="B287" s="5">
        <v>28</v>
      </c>
      <c r="C287" s="5">
        <v>946</v>
      </c>
      <c r="D287" s="5">
        <v>0</v>
      </c>
      <c r="E287" s="5">
        <v>0</v>
      </c>
      <c r="F287" s="5">
        <v>0</v>
      </c>
      <c r="G287" s="5">
        <v>0</v>
      </c>
      <c r="H287" s="5">
        <v>439</v>
      </c>
      <c r="I287" s="5">
        <v>0</v>
      </c>
      <c r="J287" s="5">
        <v>3</v>
      </c>
      <c r="K287" s="5">
        <v>1</v>
      </c>
      <c r="L287" s="5">
        <v>22</v>
      </c>
      <c r="M287" s="5">
        <v>0</v>
      </c>
      <c r="N287" s="5">
        <v>0</v>
      </c>
      <c r="O287" s="5">
        <v>12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8">
        <f>SUM(B287:Z287)</f>
        <v>1451</v>
      </c>
    </row>
    <row r="288" spans="1:27" x14ac:dyDescent="0.25">
      <c r="A288" s="5" t="s">
        <v>80</v>
      </c>
      <c r="B288" s="5">
        <v>16</v>
      </c>
      <c r="C288" s="5">
        <v>34698</v>
      </c>
      <c r="D288" s="5">
        <v>0</v>
      </c>
      <c r="E288" s="5">
        <v>972</v>
      </c>
      <c r="F288" s="5">
        <v>128</v>
      </c>
      <c r="G288" s="5">
        <v>0</v>
      </c>
      <c r="H288" s="5">
        <v>13</v>
      </c>
      <c r="I288" s="5">
        <v>0</v>
      </c>
      <c r="J288" s="5">
        <v>0</v>
      </c>
      <c r="K288" s="5">
        <v>2</v>
      </c>
      <c r="L288" s="5">
        <v>467</v>
      </c>
      <c r="M288" s="5">
        <v>0</v>
      </c>
      <c r="N288" s="5">
        <v>0</v>
      </c>
      <c r="O288" s="5">
        <v>4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8">
        <f>SUM(B288:Z288)</f>
        <v>36300</v>
      </c>
    </row>
    <row r="289" spans="1:27" x14ac:dyDescent="0.25">
      <c r="A289" s="5" t="s">
        <v>253</v>
      </c>
      <c r="B289" s="5">
        <v>16</v>
      </c>
      <c r="C289" s="5">
        <v>2935</v>
      </c>
      <c r="D289" s="5">
        <v>0</v>
      </c>
      <c r="E289" s="5">
        <v>1</v>
      </c>
      <c r="F289" s="5">
        <v>0</v>
      </c>
      <c r="G289" s="5">
        <v>0</v>
      </c>
      <c r="H289" s="5">
        <v>1082</v>
      </c>
      <c r="I289" s="5">
        <v>0</v>
      </c>
      <c r="J289" s="5">
        <v>0</v>
      </c>
      <c r="K289" s="5">
        <v>5</v>
      </c>
      <c r="L289" s="5">
        <v>13</v>
      </c>
      <c r="M289" s="5">
        <v>0</v>
      </c>
      <c r="N289" s="5">
        <v>1064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8">
        <f>SUM(B289:Z289)</f>
        <v>5116</v>
      </c>
    </row>
    <row r="290" spans="1:27" x14ac:dyDescent="0.25">
      <c r="A290" s="5" t="s">
        <v>182</v>
      </c>
      <c r="B290" s="5">
        <v>14</v>
      </c>
      <c r="C290" s="5">
        <v>449</v>
      </c>
      <c r="D290" s="5">
        <v>0</v>
      </c>
      <c r="E290" s="5">
        <v>0</v>
      </c>
      <c r="F290" s="5">
        <v>0</v>
      </c>
      <c r="G290" s="5">
        <v>0</v>
      </c>
      <c r="H290" s="5">
        <v>1344</v>
      </c>
      <c r="I290" s="5">
        <v>0</v>
      </c>
      <c r="J290" s="5">
        <v>1</v>
      </c>
      <c r="K290" s="5">
        <v>0</v>
      </c>
      <c r="L290" s="5">
        <v>7</v>
      </c>
      <c r="M290" s="5">
        <v>0</v>
      </c>
      <c r="N290" s="5">
        <v>0</v>
      </c>
      <c r="O290" s="5">
        <v>0</v>
      </c>
      <c r="P290" s="5">
        <v>334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8">
        <f>SUM(B290:Z290)</f>
        <v>2149</v>
      </c>
    </row>
    <row r="291" spans="1:27" x14ac:dyDescent="0.25">
      <c r="A291" s="5" t="s">
        <v>175</v>
      </c>
      <c r="B291" s="5">
        <v>10</v>
      </c>
      <c r="C291" s="5">
        <v>167</v>
      </c>
      <c r="D291" s="5">
        <v>0</v>
      </c>
      <c r="E291" s="5">
        <v>0</v>
      </c>
      <c r="F291" s="5">
        <v>0</v>
      </c>
      <c r="G291" s="5">
        <v>0</v>
      </c>
      <c r="H291" s="5">
        <v>990</v>
      </c>
      <c r="I291" s="5">
        <v>0</v>
      </c>
      <c r="J291" s="5">
        <v>14</v>
      </c>
      <c r="K291" s="5">
        <v>0</v>
      </c>
      <c r="L291" s="5">
        <v>5</v>
      </c>
      <c r="M291" s="5">
        <v>0</v>
      </c>
      <c r="N291" s="5">
        <v>0</v>
      </c>
      <c r="O291" s="5">
        <v>2</v>
      </c>
      <c r="P291" s="5">
        <v>23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8">
        <f>SUM(B291:Z291)</f>
        <v>1211</v>
      </c>
    </row>
    <row r="292" spans="1:27" x14ac:dyDescent="0.25">
      <c r="A292" s="5" t="s">
        <v>174</v>
      </c>
      <c r="B292" s="5">
        <v>8</v>
      </c>
      <c r="C292" s="5">
        <v>139</v>
      </c>
      <c r="D292" s="5">
        <v>0</v>
      </c>
      <c r="E292" s="5">
        <v>0</v>
      </c>
      <c r="F292" s="5">
        <v>0</v>
      </c>
      <c r="G292" s="5">
        <v>0</v>
      </c>
      <c r="H292" s="5">
        <v>1331</v>
      </c>
      <c r="I292" s="5">
        <v>0</v>
      </c>
      <c r="J292" s="5">
        <v>5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2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8">
        <f>SUM(B292:Z292)</f>
        <v>1485</v>
      </c>
    </row>
    <row r="293" spans="1:27" x14ac:dyDescent="0.25">
      <c r="A293" s="5" t="s">
        <v>298</v>
      </c>
      <c r="B293" s="5">
        <v>6</v>
      </c>
      <c r="C293" s="5">
        <v>76959</v>
      </c>
      <c r="D293" s="5">
        <v>0</v>
      </c>
      <c r="E293" s="5">
        <v>0</v>
      </c>
      <c r="F293" s="5">
        <v>3</v>
      </c>
      <c r="G293" s="5">
        <v>1</v>
      </c>
      <c r="H293" s="5">
        <v>2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87860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8">
        <f>SUM(B293:Z293)</f>
        <v>164831</v>
      </c>
    </row>
    <row r="294" spans="1:27" x14ac:dyDescent="0.25">
      <c r="A294" s="5" t="s">
        <v>138</v>
      </c>
      <c r="B294" s="5">
        <v>5</v>
      </c>
      <c r="C294" s="5">
        <v>2905</v>
      </c>
      <c r="D294" s="5">
        <v>0</v>
      </c>
      <c r="E294" s="5">
        <v>0</v>
      </c>
      <c r="F294" s="5">
        <v>0</v>
      </c>
      <c r="G294" s="5">
        <v>0</v>
      </c>
      <c r="H294" s="5">
        <v>966</v>
      </c>
      <c r="I294" s="5">
        <v>0</v>
      </c>
      <c r="J294" s="5">
        <v>0</v>
      </c>
      <c r="K294" s="5">
        <v>0</v>
      </c>
      <c r="L294" s="5">
        <v>6</v>
      </c>
      <c r="M294" s="5">
        <v>1</v>
      </c>
      <c r="N294" s="5">
        <v>557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8">
        <f>SUM(B294:Z294)</f>
        <v>4440</v>
      </c>
    </row>
    <row r="295" spans="1:27" x14ac:dyDescent="0.25">
      <c r="A295" s="5" t="s">
        <v>297</v>
      </c>
      <c r="B295" s="5">
        <v>3</v>
      </c>
      <c r="C295" s="5">
        <v>61003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82781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8">
        <f>SUM(B295:Z295)</f>
        <v>143787</v>
      </c>
    </row>
    <row r="296" spans="1:27" x14ac:dyDescent="0.25">
      <c r="A296" s="5" t="s">
        <v>291</v>
      </c>
      <c r="B296" s="5">
        <v>2</v>
      </c>
      <c r="C296" s="5">
        <v>32100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63468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8">
        <f>SUM(B296:Z296)</f>
        <v>95570</v>
      </c>
    </row>
    <row r="297" spans="1:27" x14ac:dyDescent="0.25">
      <c r="A297" s="5" t="s">
        <v>111</v>
      </c>
      <c r="B297" s="5">
        <v>2</v>
      </c>
      <c r="C297" s="5">
        <v>25669</v>
      </c>
      <c r="D297" s="5">
        <v>0</v>
      </c>
      <c r="E297" s="5">
        <v>0</v>
      </c>
      <c r="F297" s="5">
        <v>0</v>
      </c>
      <c r="G297" s="5">
        <v>0</v>
      </c>
      <c r="H297" s="5">
        <v>4</v>
      </c>
      <c r="I297" s="5">
        <v>0</v>
      </c>
      <c r="J297" s="5">
        <v>0</v>
      </c>
      <c r="K297" s="5">
        <v>0</v>
      </c>
      <c r="L297" s="5">
        <v>1</v>
      </c>
      <c r="M297" s="5">
        <v>0</v>
      </c>
      <c r="N297" s="5">
        <v>3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1097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8">
        <f>SUM(B297:Z297)</f>
        <v>26776</v>
      </c>
    </row>
    <row r="298" spans="1:27" x14ac:dyDescent="0.25">
      <c r="A298" s="5" t="s">
        <v>180</v>
      </c>
      <c r="B298" s="5">
        <v>2</v>
      </c>
      <c r="C298" s="5">
        <v>663</v>
      </c>
      <c r="D298" s="5">
        <v>0</v>
      </c>
      <c r="E298" s="5">
        <v>0</v>
      </c>
      <c r="F298" s="5">
        <v>0</v>
      </c>
      <c r="G298" s="5">
        <v>0</v>
      </c>
      <c r="H298" s="5">
        <v>1110</v>
      </c>
      <c r="I298" s="5">
        <v>0</v>
      </c>
      <c r="J298" s="5">
        <v>3</v>
      </c>
      <c r="K298" s="5">
        <v>0</v>
      </c>
      <c r="L298" s="5">
        <v>29</v>
      </c>
      <c r="M298" s="5">
        <v>0</v>
      </c>
      <c r="N298" s="5">
        <v>0</v>
      </c>
      <c r="O298" s="5">
        <v>0</v>
      </c>
      <c r="P298" s="5">
        <v>82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8">
        <f>SUM(B298:Z298)</f>
        <v>1889</v>
      </c>
    </row>
    <row r="299" spans="1:27" x14ac:dyDescent="0.25">
      <c r="A299" s="5" t="s">
        <v>300</v>
      </c>
      <c r="B299" s="5">
        <v>1</v>
      </c>
      <c r="C299" s="5">
        <v>72672</v>
      </c>
      <c r="D299" s="5">
        <v>5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145833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8">
        <f>SUM(B299:Z299)</f>
        <v>218511</v>
      </c>
    </row>
    <row r="300" spans="1:27" x14ac:dyDescent="0.25">
      <c r="A300" s="5" t="s">
        <v>296</v>
      </c>
      <c r="B300" s="5">
        <v>1</v>
      </c>
      <c r="C300" s="5">
        <v>24564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2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80542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8">
        <f>SUM(B300:Z300)</f>
        <v>105109</v>
      </c>
    </row>
    <row r="301" spans="1:27" x14ac:dyDescent="0.25">
      <c r="A301" s="5" t="s">
        <v>292</v>
      </c>
      <c r="B301" s="5">
        <v>1</v>
      </c>
      <c r="C301" s="5">
        <v>23535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45303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8">
        <f>SUM(B301:Z301)</f>
        <v>68839</v>
      </c>
    </row>
    <row r="302" spans="1:27" x14ac:dyDescent="0.25">
      <c r="A302" s="5" t="s">
        <v>299</v>
      </c>
      <c r="B302" s="5">
        <v>1</v>
      </c>
      <c r="C302" s="5">
        <v>26118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2827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8">
        <f>SUM(B302:Z302)</f>
        <v>28947</v>
      </c>
    </row>
    <row r="303" spans="1:27" x14ac:dyDescent="0.25">
      <c r="A303" s="5" t="s">
        <v>293</v>
      </c>
      <c r="B303" s="5">
        <v>0</v>
      </c>
      <c r="C303" s="5">
        <v>229695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4826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8">
        <f>SUM(B303:Z303)</f>
        <v>234521</v>
      </c>
    </row>
    <row r="304" spans="1:27" x14ac:dyDescent="0.25">
      <c r="A304" s="5" t="s">
        <v>295</v>
      </c>
      <c r="B304" s="5">
        <v>0</v>
      </c>
      <c r="C304" s="5">
        <v>55705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87885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8">
        <f>SUM(B304:Z304)</f>
        <v>143590</v>
      </c>
    </row>
    <row r="305" spans="1:27" x14ac:dyDescent="0.25">
      <c r="A305" s="5" t="s">
        <v>294</v>
      </c>
      <c r="B305" s="5">
        <v>0</v>
      </c>
      <c r="C305" s="5">
        <v>39075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16227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8">
        <f>SUM(B305:Z305)</f>
        <v>55302</v>
      </c>
    </row>
    <row r="306" spans="1:27" x14ac:dyDescent="0.25">
      <c r="A306" s="5" t="s">
        <v>116</v>
      </c>
      <c r="B306" s="5">
        <v>0</v>
      </c>
      <c r="C306" s="5">
        <v>9964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428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8">
        <f>SUM(B306:Z306)</f>
        <v>10392</v>
      </c>
    </row>
    <row r="307" spans="1:27" x14ac:dyDescent="0.25">
      <c r="A307" s="5" t="s">
        <v>113</v>
      </c>
      <c r="B307" s="5">
        <v>0</v>
      </c>
      <c r="C307" s="5">
        <v>9423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2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369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8">
        <f>SUM(B307:Z307)</f>
        <v>9794</v>
      </c>
    </row>
    <row r="308" spans="1:27" x14ac:dyDescent="0.25">
      <c r="A308" s="5" t="s">
        <v>114</v>
      </c>
      <c r="B308" s="5">
        <v>0</v>
      </c>
      <c r="C308" s="5">
        <v>7953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603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8">
        <f>SUM(B308:Z308)</f>
        <v>8556</v>
      </c>
    </row>
    <row r="309" spans="1:27" x14ac:dyDescent="0.25">
      <c r="A309" s="5" t="s">
        <v>117</v>
      </c>
      <c r="B309" s="5">
        <v>0</v>
      </c>
      <c r="C309" s="5">
        <v>6797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139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8">
        <f>SUM(B309:Z309)</f>
        <v>6936</v>
      </c>
    </row>
    <row r="310" spans="1:27" x14ac:dyDescent="0.25">
      <c r="A310" s="5" t="s">
        <v>270</v>
      </c>
      <c r="B310" s="5">
        <v>0</v>
      </c>
      <c r="C310" s="5">
        <v>890</v>
      </c>
      <c r="D310" s="5">
        <v>711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8">
        <f>SUM(B310:Z310)</f>
        <v>1601</v>
      </c>
    </row>
    <row r="311" spans="1:27" s="2" customFormat="1" x14ac:dyDescent="0.25">
      <c r="A311" s="5" t="s">
        <v>170</v>
      </c>
      <c r="B311" s="5">
        <v>0</v>
      </c>
      <c r="C311" s="5">
        <v>31</v>
      </c>
      <c r="D311" s="5">
        <v>0</v>
      </c>
      <c r="E311" s="5">
        <v>0</v>
      </c>
      <c r="F311" s="5">
        <v>0</v>
      </c>
      <c r="G311" s="5">
        <v>0</v>
      </c>
      <c r="H311" s="5">
        <v>257</v>
      </c>
      <c r="I311" s="5">
        <v>0</v>
      </c>
      <c r="J311" s="5">
        <v>0</v>
      </c>
      <c r="K311" s="5">
        <v>0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8">
        <f>SUM(B311:Z311)</f>
        <v>289</v>
      </c>
    </row>
  </sheetData>
  <autoFilter ref="A1:AA311" xr:uid="{F8A32BC9-4099-FE40-BEEE-7C98AB1C933C}">
    <sortState xmlns:xlrd2="http://schemas.microsoft.com/office/spreadsheetml/2017/richdata2" ref="A2:AA311">
      <sortCondition descending="1" ref="B1:B3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Kershaw</dc:creator>
  <cp:lastModifiedBy>Tim Kershaw</cp:lastModifiedBy>
  <dcterms:created xsi:type="dcterms:W3CDTF">2025-06-29T16:33:56Z</dcterms:created>
  <dcterms:modified xsi:type="dcterms:W3CDTF">2025-06-29T17:02:00Z</dcterms:modified>
</cp:coreProperties>
</file>